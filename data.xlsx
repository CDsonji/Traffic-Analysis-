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Statistics Project\"/>
    </mc:Choice>
  </mc:AlternateContent>
  <xr:revisionPtr revIDLastSave="0" documentId="13_ncr:1_{29762B96-2D64-4A59-8FC8-7F5EF414EED2}" xr6:coauthVersionLast="47" xr6:coauthVersionMax="47" xr10:uidLastSave="{00000000-0000-0000-0000-000000000000}"/>
  <bookViews>
    <workbookView xWindow="-96" yWindow="0" windowWidth="11712" windowHeight="12336" activeTab="5" xr2:uid="{E4A82018-90C2-4F0E-A00A-CAE17B16D65B}"/>
  </bookViews>
  <sheets>
    <sheet name="تهران" sheetId="1" r:id="rId1"/>
    <sheet name="خراسان رضوی" sheetId="2" r:id="rId2"/>
    <sheet name="اصفهان" sheetId="3" r:id="rId3"/>
    <sheet name="فارس" sheetId="4" r:id="rId4"/>
    <sheet name="آذربایجان شرقی" sheetId="5" r:id="rId5"/>
    <sheet name="tot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" l="1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7" i="6"/>
  <c r="F3" i="6"/>
  <c r="F4" i="6"/>
  <c r="F5" i="6"/>
  <c r="F6" i="6"/>
  <c r="F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" i="4"/>
  <c r="E20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<sst xmlns="http://schemas.openxmlformats.org/spreadsheetml/2006/main" count="136" uniqueCount="22">
  <si>
    <t>CPI</t>
  </si>
  <si>
    <t>Car_Count (x2)</t>
  </si>
  <si>
    <t>Nominal_Price (x1)</t>
  </si>
  <si>
    <t>Gas_Consumption (y)</t>
  </si>
  <si>
    <t>Year</t>
  </si>
  <si>
    <t>CPI (compared to 1400)</t>
  </si>
  <si>
    <t>Intra-Provincial Trips (x3)</t>
  </si>
  <si>
    <t>Nominal_Price</t>
  </si>
  <si>
    <t>Real_Price (x1)</t>
  </si>
  <si>
    <t>*</t>
  </si>
  <si>
    <t>Province</t>
  </si>
  <si>
    <t>Tehran</t>
  </si>
  <si>
    <t>Esfahan</t>
  </si>
  <si>
    <t xml:space="preserve">Nominal_Price </t>
  </si>
  <si>
    <t>Fars</t>
  </si>
  <si>
    <t>CPI (Compared to 1400 = 100)</t>
  </si>
  <si>
    <t>Azerbaijan Sharghi</t>
  </si>
  <si>
    <t>Khorasan Razavi</t>
  </si>
  <si>
    <t>Gas_Consumption (Y)</t>
  </si>
  <si>
    <t>Real_Price (X1)</t>
  </si>
  <si>
    <t>Car_Count (X2)</t>
  </si>
  <si>
    <t>Intra-Provincial Trips (X3)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</si>
</sst>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F794-C25D-4138-A552-8F315773D35F}">
  <dimension ref="A1:G24"/>
  <sheetViews>
    <sheetView zoomScale="91" workbookViewId="0">
      <selection activeCell="F26" sqref="F26"/>
    </sheetView>
  </sheetViews>
  <sheetFormatPr defaultRowHeight="14.4" x14ac:dyDescent="0.3"/>
  <cols>
    <col min="1" max="1" width="8.88671875" style="1"/>
    <col min="2" max="2" width="21.44140625" style="1" customWidth="1"/>
    <col min="3" max="3" width="16.44140625" style="1" customWidth="1"/>
    <col min="4" max="4" width="9.6640625" style="1" customWidth="1"/>
    <col min="5" max="5" width="15.5546875" style="1" customWidth="1"/>
    <col min="6" max="6" width="23.77734375" style="1" customWidth="1"/>
    <col min="7" max="7" width="22.88671875" style="1" customWidth="1"/>
    <col min="8" max="16384" width="8.88671875" style="1"/>
  </cols>
  <sheetData>
    <row r="1" spans="1:7" x14ac:dyDescent="0.3">
      <c r="A1" s="1" t="s">
        <v>4</v>
      </c>
      <c r="B1" s="1" t="s">
        <v>3</v>
      </c>
      <c r="C1" s="1" t="s">
        <v>7</v>
      </c>
      <c r="D1" s="1" t="s">
        <v>0</v>
      </c>
      <c r="E1" s="1" t="s">
        <v>8</v>
      </c>
      <c r="F1" s="1" t="s">
        <v>1</v>
      </c>
      <c r="G1" t="s">
        <v>6</v>
      </c>
    </row>
    <row r="2" spans="1:7" x14ac:dyDescent="0.3">
      <c r="A2" s="1">
        <v>1401</v>
      </c>
      <c r="B2" s="4">
        <v>6484225</v>
      </c>
      <c r="C2" s="1">
        <v>30000</v>
      </c>
      <c r="D2" s="1">
        <v>174.1</v>
      </c>
      <c r="E2" s="1">
        <f>C2*100/D2</f>
        <v>17231.47616312464</v>
      </c>
      <c r="F2" s="1">
        <v>326116</v>
      </c>
      <c r="G2" s="1">
        <v>69607</v>
      </c>
    </row>
    <row r="3" spans="1:7" x14ac:dyDescent="0.3">
      <c r="A3" s="1">
        <v>1400</v>
      </c>
      <c r="B3" s="4">
        <v>4845623</v>
      </c>
      <c r="C3" s="1">
        <v>30000</v>
      </c>
      <c r="D3" s="1">
        <v>113</v>
      </c>
      <c r="E3" s="1">
        <f t="shared" ref="E3:E24" si="0">C3*100/D3</f>
        <v>26548.672566371682</v>
      </c>
      <c r="F3" s="1">
        <v>220878</v>
      </c>
      <c r="G3" s="1">
        <v>100201</v>
      </c>
    </row>
    <row r="4" spans="1:7" x14ac:dyDescent="0.3">
      <c r="A4" s="1">
        <v>1399</v>
      </c>
      <c r="B4" s="4">
        <v>4380000</v>
      </c>
      <c r="C4" s="1">
        <v>30000</v>
      </c>
      <c r="D4" s="1">
        <v>84.2</v>
      </c>
      <c r="E4" s="1">
        <f t="shared" si="0"/>
        <v>35629.453681710213</v>
      </c>
      <c r="F4" s="1">
        <v>218424</v>
      </c>
      <c r="G4" s="1">
        <v>101640</v>
      </c>
    </row>
    <row r="5" spans="1:7" x14ac:dyDescent="0.3">
      <c r="A5" s="1">
        <v>1398</v>
      </c>
      <c r="B5" s="4">
        <v>6190400</v>
      </c>
      <c r="C5" s="1">
        <v>30000</v>
      </c>
      <c r="D5" s="1">
        <v>56.6</v>
      </c>
      <c r="E5" s="1">
        <f t="shared" si="0"/>
        <v>53003.53356890459</v>
      </c>
      <c r="F5" s="1">
        <v>230494</v>
      </c>
      <c r="G5" s="1">
        <v>114000</v>
      </c>
    </row>
    <row r="6" spans="1:7" x14ac:dyDescent="0.3">
      <c r="A6" s="1">
        <v>1397</v>
      </c>
      <c r="B6" s="1">
        <v>6066002</v>
      </c>
      <c r="C6" s="1">
        <v>10000</v>
      </c>
      <c r="D6" s="1">
        <v>46.4</v>
      </c>
      <c r="E6" s="1">
        <f t="shared" si="0"/>
        <v>21551.724137931036</v>
      </c>
      <c r="F6" s="1">
        <v>294013</v>
      </c>
      <c r="G6" s="1">
        <v>110000</v>
      </c>
    </row>
    <row r="7" spans="1:7" x14ac:dyDescent="0.3">
      <c r="A7" s="1">
        <v>1396</v>
      </c>
      <c r="B7" s="1">
        <v>5715330</v>
      </c>
      <c r="C7" s="1">
        <v>10000</v>
      </c>
      <c r="D7" s="1">
        <v>31.5</v>
      </c>
      <c r="E7" s="1">
        <f t="shared" si="0"/>
        <v>31746.031746031746</v>
      </c>
      <c r="F7" s="1">
        <v>588870</v>
      </c>
      <c r="G7" s="1">
        <v>117000</v>
      </c>
    </row>
    <row r="8" spans="1:7" x14ac:dyDescent="0.3">
      <c r="A8" s="1">
        <v>1395</v>
      </c>
      <c r="B8" s="1">
        <v>5447584</v>
      </c>
      <c r="C8" s="1">
        <v>10000</v>
      </c>
      <c r="D8" s="1">
        <v>29.4</v>
      </c>
      <c r="E8" s="1">
        <f t="shared" si="0"/>
        <v>34013.605442176871</v>
      </c>
      <c r="F8" s="6">
        <v>518644</v>
      </c>
      <c r="G8" s="1">
        <v>141000</v>
      </c>
    </row>
    <row r="9" spans="1:7" x14ac:dyDescent="0.3">
      <c r="A9" s="1">
        <v>1394</v>
      </c>
      <c r="B9" s="1">
        <v>4727192</v>
      </c>
      <c r="C9" s="1">
        <v>10000</v>
      </c>
      <c r="D9" s="1">
        <v>27.1</v>
      </c>
      <c r="E9" s="1">
        <f t="shared" si="0"/>
        <v>36900.369003690037</v>
      </c>
      <c r="F9" s="1">
        <v>448419</v>
      </c>
      <c r="G9" s="1">
        <v>143000</v>
      </c>
    </row>
    <row r="10" spans="1:7" x14ac:dyDescent="0.3">
      <c r="A10" s="1">
        <v>1393</v>
      </c>
      <c r="B10" s="1">
        <v>4504901</v>
      </c>
      <c r="C10" s="1">
        <v>10000</v>
      </c>
      <c r="D10" s="1">
        <v>25</v>
      </c>
      <c r="E10" s="1">
        <f t="shared" si="0"/>
        <v>40000</v>
      </c>
      <c r="F10" s="1">
        <v>539472</v>
      </c>
      <c r="G10" s="1">
        <v>137000</v>
      </c>
    </row>
    <row r="11" spans="1:7" x14ac:dyDescent="0.3">
      <c r="A11" s="1">
        <v>1392</v>
      </c>
      <c r="B11" s="1">
        <v>4409441</v>
      </c>
      <c r="C11" s="1">
        <v>7000</v>
      </c>
      <c r="D11" s="1">
        <v>22</v>
      </c>
      <c r="E11" s="1">
        <f t="shared" si="0"/>
        <v>31818.18181818182</v>
      </c>
      <c r="F11" s="1">
        <v>338309</v>
      </c>
      <c r="G11" s="1">
        <v>135000</v>
      </c>
    </row>
    <row r="12" spans="1:7" x14ac:dyDescent="0.3">
      <c r="A12" s="1">
        <v>1391</v>
      </c>
      <c r="B12" s="1">
        <v>4263320</v>
      </c>
      <c r="C12" s="1">
        <v>7000</v>
      </c>
      <c r="D12" s="1">
        <v>18.399999999999999</v>
      </c>
      <c r="E12" s="1">
        <f t="shared" si="0"/>
        <v>38043.478260869568</v>
      </c>
      <c r="F12" s="1">
        <v>376919</v>
      </c>
      <c r="G12" s="1">
        <v>152000</v>
      </c>
    </row>
    <row r="13" spans="1:7" x14ac:dyDescent="0.3">
      <c r="A13" s="1">
        <v>1390</v>
      </c>
      <c r="B13" s="1">
        <v>4148456</v>
      </c>
      <c r="C13" s="1">
        <v>7000</v>
      </c>
      <c r="D13" s="1">
        <v>13.3</v>
      </c>
      <c r="E13" s="1">
        <f t="shared" si="0"/>
        <v>52631.57894736842</v>
      </c>
      <c r="F13" s="1">
        <v>490855</v>
      </c>
      <c r="G13" s="1">
        <v>140000</v>
      </c>
    </row>
    <row r="14" spans="1:7" x14ac:dyDescent="0.3">
      <c r="A14" s="1">
        <v>1389</v>
      </c>
      <c r="B14" s="1">
        <v>4178401</v>
      </c>
      <c r="C14" s="1">
        <v>7000</v>
      </c>
      <c r="D14" s="1">
        <v>11</v>
      </c>
      <c r="E14" s="1">
        <f t="shared" si="0"/>
        <v>63636.36363636364</v>
      </c>
      <c r="F14" s="1">
        <v>487139</v>
      </c>
      <c r="G14" s="1">
        <v>175000</v>
      </c>
    </row>
    <row r="15" spans="1:7" x14ac:dyDescent="0.3">
      <c r="A15" s="1">
        <v>1388</v>
      </c>
      <c r="B15" s="1">
        <v>6282684</v>
      </c>
      <c r="C15" s="1">
        <v>4000</v>
      </c>
      <c r="D15" s="1">
        <v>8.9</v>
      </c>
      <c r="E15" s="1">
        <f t="shared" si="0"/>
        <v>44943.8202247191</v>
      </c>
      <c r="F15" s="1">
        <v>598254</v>
      </c>
      <c r="G15" s="1">
        <v>202000</v>
      </c>
    </row>
    <row r="16" spans="1:7" x14ac:dyDescent="0.3">
      <c r="A16" s="1">
        <v>1387</v>
      </c>
      <c r="B16" s="1">
        <v>5554000</v>
      </c>
      <c r="C16" s="1">
        <v>4000</v>
      </c>
      <c r="D16" s="1">
        <v>8.1999999999999993</v>
      </c>
      <c r="E16" s="1">
        <f t="shared" si="0"/>
        <v>48780.487804878052</v>
      </c>
      <c r="F16" s="1">
        <v>608731</v>
      </c>
      <c r="G16" s="1">
        <v>192000</v>
      </c>
    </row>
    <row r="17" spans="1:7" x14ac:dyDescent="0.3">
      <c r="A17" s="1">
        <v>1386</v>
      </c>
      <c r="B17" s="1">
        <v>5216000</v>
      </c>
      <c r="C17" s="1">
        <v>4000</v>
      </c>
      <c r="D17" s="1">
        <v>6.8</v>
      </c>
      <c r="E17" s="1">
        <f t="shared" si="0"/>
        <v>58823.529411764706</v>
      </c>
      <c r="F17" s="1">
        <v>650731</v>
      </c>
      <c r="G17" s="1">
        <v>201000</v>
      </c>
    </row>
    <row r="18" spans="1:7" x14ac:dyDescent="0.3">
      <c r="A18" s="1">
        <v>1385</v>
      </c>
      <c r="B18" s="1">
        <v>4321600</v>
      </c>
      <c r="C18" s="1">
        <v>800</v>
      </c>
      <c r="D18" s="1">
        <v>5.6</v>
      </c>
      <c r="E18" s="1">
        <f t="shared" si="0"/>
        <v>14285.714285714286</v>
      </c>
      <c r="F18" s="1">
        <v>559496</v>
      </c>
      <c r="G18" s="1">
        <v>197000</v>
      </c>
    </row>
    <row r="19" spans="1:7" x14ac:dyDescent="0.3">
      <c r="A19" s="1">
        <v>1384</v>
      </c>
      <c r="B19" s="1">
        <v>5640908</v>
      </c>
      <c r="C19" s="1">
        <v>800</v>
      </c>
      <c r="D19" s="1">
        <v>4.9000000000000004</v>
      </c>
      <c r="E19" s="1">
        <f t="shared" si="0"/>
        <v>16326.530612244896</v>
      </c>
      <c r="F19" s="1">
        <v>638700</v>
      </c>
      <c r="G19" s="1">
        <v>212000</v>
      </c>
    </row>
    <row r="20" spans="1:7" x14ac:dyDescent="0.3">
      <c r="A20" s="1">
        <v>1383</v>
      </c>
      <c r="B20" s="1">
        <v>5266354</v>
      </c>
      <c r="C20" s="1">
        <v>800</v>
      </c>
      <c r="D20" s="1">
        <v>4.4000000000000004</v>
      </c>
      <c r="E20" s="1">
        <f t="shared" si="0"/>
        <v>18181.81818181818</v>
      </c>
      <c r="F20" s="6">
        <v>613336</v>
      </c>
      <c r="G20" s="1">
        <v>196000</v>
      </c>
    </row>
    <row r="21" spans="1:7" x14ac:dyDescent="0.3">
      <c r="A21" s="1">
        <v>1382</v>
      </c>
      <c r="B21" s="1">
        <v>4898000</v>
      </c>
      <c r="C21" s="1">
        <v>650</v>
      </c>
      <c r="D21" s="1">
        <v>3.8</v>
      </c>
      <c r="E21" s="1">
        <f t="shared" si="0"/>
        <v>17105.263157894737</v>
      </c>
      <c r="F21" s="1">
        <v>587973</v>
      </c>
      <c r="G21" s="1">
        <v>185000</v>
      </c>
    </row>
    <row r="22" spans="1:7" x14ac:dyDescent="0.3">
      <c r="A22" s="1">
        <v>1381</v>
      </c>
      <c r="B22" s="1">
        <v>4428000</v>
      </c>
      <c r="C22" s="1">
        <v>500</v>
      </c>
      <c r="D22" s="1">
        <v>3.3</v>
      </c>
      <c r="E22" s="1">
        <f t="shared" si="0"/>
        <v>15151.515151515152</v>
      </c>
      <c r="F22" s="1">
        <v>427848</v>
      </c>
      <c r="G22" s="1">
        <v>186000</v>
      </c>
    </row>
    <row r="23" spans="1:7" x14ac:dyDescent="0.3">
      <c r="A23" s="1">
        <v>1380</v>
      </c>
      <c r="B23" s="1">
        <v>4027000</v>
      </c>
      <c r="C23" s="1">
        <v>450</v>
      </c>
      <c r="D23" s="1">
        <v>3</v>
      </c>
      <c r="E23" s="1">
        <f t="shared" si="0"/>
        <v>15000</v>
      </c>
      <c r="F23" s="1">
        <v>163693</v>
      </c>
      <c r="G23" s="1" t="s">
        <v>9</v>
      </c>
    </row>
    <row r="24" spans="1:7" x14ac:dyDescent="0.3">
      <c r="A24" s="1">
        <v>1379</v>
      </c>
      <c r="B24" s="1">
        <v>3625000</v>
      </c>
      <c r="C24" s="1">
        <v>385</v>
      </c>
      <c r="D24" s="1">
        <v>2.7</v>
      </c>
      <c r="E24" s="1">
        <f t="shared" si="0"/>
        <v>14259.259259259259</v>
      </c>
      <c r="F24" s="1">
        <v>145186</v>
      </c>
      <c r="G24" s="1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2059-A1D9-4DBF-9367-B0CAB049C40E}">
  <dimension ref="A1:G28"/>
  <sheetViews>
    <sheetView zoomScale="85" workbookViewId="0">
      <selection activeCell="C32" sqref="C32"/>
    </sheetView>
  </sheetViews>
  <sheetFormatPr defaultRowHeight="14.4" x14ac:dyDescent="0.3"/>
  <cols>
    <col min="1" max="1" width="8.88671875" style="1"/>
    <col min="2" max="2" width="23" style="1" customWidth="1"/>
    <col min="3" max="3" width="19.5546875" style="1" customWidth="1"/>
    <col min="4" max="4" width="16.77734375" style="1" customWidth="1"/>
    <col min="5" max="5" width="14.109375" style="1" customWidth="1"/>
    <col min="6" max="6" width="22.5546875" style="1" customWidth="1"/>
    <col min="7" max="16384" width="8.88671875" style="1"/>
  </cols>
  <sheetData>
    <row r="1" spans="1:7" x14ac:dyDescent="0.3">
      <c r="A1" s="1" t="s">
        <v>4</v>
      </c>
      <c r="B1" s="1" t="s">
        <v>3</v>
      </c>
      <c r="C1" s="1" t="s">
        <v>2</v>
      </c>
      <c r="D1" s="1" t="s">
        <v>0</v>
      </c>
      <c r="E1" s="1" t="s">
        <v>8</v>
      </c>
      <c r="F1" s="1" t="s">
        <v>1</v>
      </c>
      <c r="G1" t="s">
        <v>6</v>
      </c>
    </row>
    <row r="2" spans="1:7" x14ac:dyDescent="0.3">
      <c r="A2" s="1">
        <v>1401</v>
      </c>
      <c r="B2" s="1">
        <v>1476062</v>
      </c>
      <c r="C2" s="1">
        <v>30000</v>
      </c>
      <c r="D2" s="1">
        <v>174.1</v>
      </c>
      <c r="E2" s="1">
        <f>C2*100/D2</f>
        <v>17231.47616312464</v>
      </c>
      <c r="F2" s="1">
        <v>101297</v>
      </c>
      <c r="G2" s="1">
        <v>1018017</v>
      </c>
    </row>
    <row r="3" spans="1:7" x14ac:dyDescent="0.3">
      <c r="A3" s="1">
        <v>1400</v>
      </c>
      <c r="B3" s="1">
        <v>1294791</v>
      </c>
      <c r="C3" s="1">
        <v>30000</v>
      </c>
      <c r="D3" s="1">
        <v>113</v>
      </c>
      <c r="E3" s="1">
        <f t="shared" ref="E3:E28" si="0">C3*100/D3</f>
        <v>26548.672566371682</v>
      </c>
      <c r="F3" s="1">
        <v>67773</v>
      </c>
      <c r="G3" s="1">
        <v>976541</v>
      </c>
    </row>
    <row r="4" spans="1:7" x14ac:dyDescent="0.3">
      <c r="A4" s="1">
        <v>1399</v>
      </c>
      <c r="B4" s="1">
        <v>1320000</v>
      </c>
      <c r="C4" s="1">
        <v>30000</v>
      </c>
      <c r="D4" s="1">
        <v>84.2</v>
      </c>
      <c r="E4" s="1">
        <f t="shared" si="0"/>
        <v>35629.453681710213</v>
      </c>
      <c r="F4" s="1">
        <v>69945</v>
      </c>
      <c r="G4" s="1">
        <v>887485</v>
      </c>
    </row>
    <row r="5" spans="1:7" x14ac:dyDescent="0.3">
      <c r="A5" s="1">
        <v>1398</v>
      </c>
      <c r="B5" s="6">
        <v>1738000</v>
      </c>
      <c r="C5" s="1">
        <v>30000</v>
      </c>
      <c r="D5" s="1">
        <v>56.6</v>
      </c>
      <c r="E5" s="1">
        <f t="shared" si="0"/>
        <v>53003.53356890459</v>
      </c>
      <c r="F5" s="1">
        <v>74511</v>
      </c>
      <c r="G5" s="1">
        <v>1001247</v>
      </c>
    </row>
    <row r="6" spans="1:7" x14ac:dyDescent="0.3">
      <c r="A6" s="1">
        <v>1397</v>
      </c>
      <c r="B6" s="1">
        <v>2156000</v>
      </c>
      <c r="C6" s="1">
        <v>10000</v>
      </c>
      <c r="D6" s="1">
        <v>46.4</v>
      </c>
      <c r="E6" s="1">
        <f t="shared" si="0"/>
        <v>21551.724137931036</v>
      </c>
      <c r="F6" s="1">
        <v>56483</v>
      </c>
      <c r="G6" s="1">
        <v>975645</v>
      </c>
    </row>
    <row r="7" spans="1:7" x14ac:dyDescent="0.3">
      <c r="A7" s="1">
        <v>1396</v>
      </c>
      <c r="B7" s="1">
        <v>1963669</v>
      </c>
      <c r="C7" s="1">
        <v>10000</v>
      </c>
      <c r="D7" s="1">
        <v>31.5</v>
      </c>
      <c r="E7" s="1">
        <f t="shared" si="0"/>
        <v>31746.031746031746</v>
      </c>
      <c r="F7" s="1">
        <v>118203</v>
      </c>
      <c r="G7" s="1">
        <v>988961</v>
      </c>
    </row>
    <row r="8" spans="1:7" x14ac:dyDescent="0.3">
      <c r="A8" s="1">
        <v>1395</v>
      </c>
      <c r="B8" s="1">
        <v>1845941</v>
      </c>
      <c r="C8" s="1">
        <v>10000</v>
      </c>
      <c r="D8" s="1">
        <v>29.4</v>
      </c>
      <c r="E8" s="1">
        <f t="shared" si="0"/>
        <v>34013.605442176871</v>
      </c>
      <c r="F8" s="6">
        <v>121299</v>
      </c>
      <c r="G8" s="1">
        <v>952494</v>
      </c>
    </row>
    <row r="9" spans="1:7" x14ac:dyDescent="0.3">
      <c r="A9" s="1">
        <v>1394</v>
      </c>
      <c r="B9" s="1">
        <v>1772667</v>
      </c>
      <c r="C9" s="1">
        <v>10000</v>
      </c>
      <c r="D9" s="1">
        <v>27.1</v>
      </c>
      <c r="E9" s="1">
        <f t="shared" si="0"/>
        <v>36900.369003690037</v>
      </c>
      <c r="F9" s="1">
        <v>124395</v>
      </c>
      <c r="G9" s="1">
        <v>956847</v>
      </c>
    </row>
    <row r="10" spans="1:7" x14ac:dyDescent="0.3">
      <c r="A10" s="1">
        <v>1393</v>
      </c>
      <c r="B10" s="1">
        <v>1758172</v>
      </c>
      <c r="C10" s="1">
        <v>10000</v>
      </c>
      <c r="D10" s="1">
        <v>25</v>
      </c>
      <c r="E10" s="1">
        <f t="shared" si="0"/>
        <v>40000</v>
      </c>
      <c r="F10" s="1">
        <v>153459</v>
      </c>
      <c r="G10" s="1">
        <v>980359</v>
      </c>
    </row>
    <row r="11" spans="1:7" x14ac:dyDescent="0.3">
      <c r="A11" s="1">
        <v>1392</v>
      </c>
      <c r="B11" s="1">
        <v>1630126</v>
      </c>
      <c r="C11" s="1">
        <v>7000</v>
      </c>
      <c r="D11" s="1">
        <v>22</v>
      </c>
      <c r="E11" s="1">
        <f t="shared" si="0"/>
        <v>31818.18181818182</v>
      </c>
      <c r="F11" s="1">
        <v>61020</v>
      </c>
      <c r="G11" s="1">
        <v>996601</v>
      </c>
    </row>
    <row r="12" spans="1:7" x14ac:dyDescent="0.3">
      <c r="A12" s="1">
        <v>1391</v>
      </c>
      <c r="B12" s="1">
        <v>1590157</v>
      </c>
      <c r="C12" s="1">
        <v>7000</v>
      </c>
      <c r="D12" s="1">
        <v>18.399999999999999</v>
      </c>
      <c r="E12" s="1">
        <f t="shared" si="0"/>
        <v>38043.478260869568</v>
      </c>
      <c r="F12" s="1">
        <v>115550</v>
      </c>
      <c r="G12" s="1">
        <v>999676</v>
      </c>
    </row>
    <row r="13" spans="1:7" x14ac:dyDescent="0.3">
      <c r="A13" s="1">
        <v>1390</v>
      </c>
      <c r="B13" s="1">
        <v>1488581</v>
      </c>
      <c r="C13" s="1">
        <v>7000</v>
      </c>
      <c r="D13" s="1">
        <v>13.3</v>
      </c>
      <c r="E13" s="1">
        <f t="shared" si="0"/>
        <v>52631.57894736842</v>
      </c>
      <c r="F13" s="1">
        <v>212198</v>
      </c>
      <c r="G13" s="1">
        <v>988082</v>
      </c>
    </row>
    <row r="14" spans="1:7" x14ac:dyDescent="0.3">
      <c r="A14" s="1">
        <v>1389</v>
      </c>
      <c r="B14" s="1">
        <v>1506077</v>
      </c>
      <c r="C14" s="1">
        <v>7000</v>
      </c>
      <c r="D14" s="1">
        <v>11</v>
      </c>
      <c r="E14" s="1">
        <f t="shared" si="0"/>
        <v>63636.36363636364</v>
      </c>
      <c r="F14" s="1">
        <v>103510</v>
      </c>
      <c r="G14" s="1">
        <v>1030190</v>
      </c>
    </row>
    <row r="15" spans="1:7" x14ac:dyDescent="0.3">
      <c r="A15" s="1">
        <v>1388</v>
      </c>
      <c r="B15" s="1">
        <v>1599503</v>
      </c>
      <c r="C15" s="1">
        <v>4000</v>
      </c>
      <c r="D15" s="1">
        <v>8.9</v>
      </c>
      <c r="E15" s="1">
        <f t="shared" si="0"/>
        <v>44943.8202247191</v>
      </c>
      <c r="F15" s="1">
        <v>192989</v>
      </c>
      <c r="G15" s="1">
        <v>1056442</v>
      </c>
    </row>
    <row r="16" spans="1:7" x14ac:dyDescent="0.3">
      <c r="A16" s="1">
        <v>1387</v>
      </c>
      <c r="B16" s="1">
        <v>1647157</v>
      </c>
      <c r="C16" s="1">
        <v>4000</v>
      </c>
      <c r="D16" s="1">
        <v>8.1999999999999993</v>
      </c>
      <c r="E16" s="1">
        <f t="shared" si="0"/>
        <v>48780.487804878052</v>
      </c>
      <c r="F16" s="1">
        <v>175423</v>
      </c>
      <c r="G16" s="1">
        <v>1036103</v>
      </c>
    </row>
    <row r="17" spans="1:7" x14ac:dyDescent="0.3">
      <c r="A17" s="1">
        <v>1386</v>
      </c>
      <c r="B17" s="1">
        <v>1577000</v>
      </c>
      <c r="C17" s="1">
        <v>4000</v>
      </c>
      <c r="D17" s="1">
        <v>6.8</v>
      </c>
      <c r="E17" s="1">
        <f t="shared" si="0"/>
        <v>58823.529411764706</v>
      </c>
      <c r="F17" s="1">
        <v>213616</v>
      </c>
      <c r="G17" s="1">
        <v>903391</v>
      </c>
    </row>
    <row r="18" spans="1:7" x14ac:dyDescent="0.3">
      <c r="A18" s="1">
        <v>1385</v>
      </c>
      <c r="B18" s="1">
        <v>1780119</v>
      </c>
      <c r="C18" s="1">
        <v>800</v>
      </c>
      <c r="D18" s="1">
        <v>5.6</v>
      </c>
      <c r="E18" s="1">
        <f t="shared" si="0"/>
        <v>14285.714285714286</v>
      </c>
      <c r="F18" s="1">
        <v>189457</v>
      </c>
      <c r="G18" s="1">
        <v>835008</v>
      </c>
    </row>
    <row r="19" spans="1:7" x14ac:dyDescent="0.3">
      <c r="A19" s="1">
        <v>1384</v>
      </c>
      <c r="B19" s="1">
        <v>1656068</v>
      </c>
      <c r="C19" s="1">
        <v>800</v>
      </c>
      <c r="D19" s="1">
        <v>4.9000000000000004</v>
      </c>
      <c r="E19" s="1">
        <f t="shared" si="0"/>
        <v>16326.530612244896</v>
      </c>
      <c r="F19" s="1">
        <v>216526</v>
      </c>
      <c r="G19" s="1">
        <v>744213</v>
      </c>
    </row>
    <row r="20" spans="1:7" x14ac:dyDescent="0.3">
      <c r="A20" s="1">
        <v>1383</v>
      </c>
      <c r="B20" s="1">
        <v>1531234</v>
      </c>
      <c r="C20" s="1">
        <v>800</v>
      </c>
      <c r="D20" s="1">
        <v>4.4000000000000004</v>
      </c>
      <c r="E20" s="1">
        <f t="shared" si="0"/>
        <v>18181.81818181818</v>
      </c>
      <c r="F20" s="6">
        <v>175716</v>
      </c>
      <c r="G20" s="1">
        <v>695656</v>
      </c>
    </row>
    <row r="21" spans="1:7" x14ac:dyDescent="0.3">
      <c r="A21" s="1">
        <v>1382</v>
      </c>
      <c r="B21" s="1">
        <v>1192515</v>
      </c>
      <c r="C21" s="1">
        <v>650</v>
      </c>
      <c r="D21" s="1">
        <v>3.8</v>
      </c>
      <c r="E21" s="1">
        <f t="shared" si="0"/>
        <v>17105.263157894737</v>
      </c>
      <c r="F21" s="1">
        <v>134906</v>
      </c>
      <c r="G21" s="1">
        <v>770636</v>
      </c>
    </row>
    <row r="22" spans="1:7" x14ac:dyDescent="0.3">
      <c r="A22" s="1">
        <v>1381</v>
      </c>
      <c r="B22" s="1">
        <v>1070739</v>
      </c>
      <c r="C22" s="1">
        <v>500</v>
      </c>
      <c r="D22" s="1">
        <v>3.3</v>
      </c>
      <c r="E22" s="1">
        <f t="shared" si="0"/>
        <v>15151.515151515152</v>
      </c>
      <c r="F22" s="1">
        <v>47262</v>
      </c>
      <c r="G22" s="1">
        <v>806000</v>
      </c>
    </row>
    <row r="23" spans="1:7" x14ac:dyDescent="0.3">
      <c r="A23" s="1">
        <v>1380</v>
      </c>
      <c r="B23" s="1">
        <v>1358886</v>
      </c>
      <c r="C23" s="1">
        <v>450</v>
      </c>
      <c r="D23" s="1">
        <v>3</v>
      </c>
      <c r="E23" s="1">
        <f t="shared" si="0"/>
        <v>15000</v>
      </c>
      <c r="F23" s="1">
        <v>33763</v>
      </c>
      <c r="G23" s="1">
        <v>860000</v>
      </c>
    </row>
    <row r="24" spans="1:7" x14ac:dyDescent="0.3">
      <c r="A24" s="1">
        <v>1379</v>
      </c>
      <c r="B24" s="1">
        <v>1277403</v>
      </c>
      <c r="C24" s="1">
        <v>385</v>
      </c>
      <c r="D24" s="1">
        <v>2.7</v>
      </c>
      <c r="E24" s="1">
        <f t="shared" si="0"/>
        <v>14259.259259259259</v>
      </c>
      <c r="F24" s="1">
        <v>25288</v>
      </c>
      <c r="G24" s="1">
        <v>881000</v>
      </c>
    </row>
    <row r="25" spans="1:7" x14ac:dyDescent="0.3">
      <c r="A25" s="1">
        <v>1378</v>
      </c>
      <c r="B25" s="3">
        <v>1151228</v>
      </c>
      <c r="C25" s="3">
        <v>350</v>
      </c>
      <c r="D25" s="3">
        <v>2.4</v>
      </c>
      <c r="E25" s="1">
        <f t="shared" si="0"/>
        <v>14583.333333333334</v>
      </c>
      <c r="F25" s="3"/>
      <c r="G25" s="3"/>
    </row>
    <row r="26" spans="1:7" x14ac:dyDescent="0.3">
      <c r="A26" s="1">
        <v>1377</v>
      </c>
      <c r="B26" s="3">
        <v>1098512</v>
      </c>
      <c r="C26" s="3">
        <v>200</v>
      </c>
      <c r="D26" s="3">
        <v>2</v>
      </c>
      <c r="E26" s="1">
        <f t="shared" si="0"/>
        <v>10000</v>
      </c>
      <c r="F26" s="3"/>
      <c r="G26" s="3"/>
    </row>
    <row r="27" spans="1:7" x14ac:dyDescent="0.3">
      <c r="A27" s="1">
        <v>1376</v>
      </c>
      <c r="B27" s="3">
        <v>1003914</v>
      </c>
      <c r="C27" s="3">
        <v>160</v>
      </c>
      <c r="D27" s="3">
        <v>1.7</v>
      </c>
      <c r="E27" s="1">
        <f t="shared" si="0"/>
        <v>9411.7647058823532</v>
      </c>
      <c r="F27" s="3"/>
      <c r="G27" s="3"/>
    </row>
    <row r="28" spans="1:7" x14ac:dyDescent="0.3">
      <c r="A28" s="1">
        <v>1375</v>
      </c>
      <c r="B28" s="3">
        <v>958990</v>
      </c>
      <c r="C28" s="3">
        <v>100</v>
      </c>
      <c r="D28" s="3">
        <v>1.4</v>
      </c>
      <c r="E28" s="1">
        <f t="shared" si="0"/>
        <v>7142.8571428571431</v>
      </c>
      <c r="F28" s="3"/>
      <c r="G2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E9B7-3D44-47C2-89A1-90FB91BFF1CA}">
  <dimension ref="A1:G24"/>
  <sheetViews>
    <sheetView zoomScale="83" zoomScaleNormal="145" workbookViewId="0">
      <selection activeCell="C20" sqref="C2:E20"/>
    </sheetView>
  </sheetViews>
  <sheetFormatPr defaultRowHeight="14.4" x14ac:dyDescent="0.3"/>
  <cols>
    <col min="1" max="1" width="8.88671875" style="1"/>
    <col min="2" max="2" width="20.88671875" style="1" customWidth="1"/>
    <col min="3" max="3" width="18.6640625" style="1" customWidth="1"/>
    <col min="4" max="4" width="21.109375" style="1" customWidth="1"/>
    <col min="5" max="5" width="21.6640625" style="1" customWidth="1"/>
    <col min="6" max="6" width="23.33203125" style="1" customWidth="1"/>
    <col min="7" max="16384" width="8.88671875" style="1"/>
  </cols>
  <sheetData>
    <row r="1" spans="1:7" x14ac:dyDescent="0.3">
      <c r="A1" s="1" t="s">
        <v>4</v>
      </c>
      <c r="B1" s="1" t="s">
        <v>3</v>
      </c>
      <c r="C1" s="1" t="s">
        <v>13</v>
      </c>
      <c r="D1" s="1" t="s">
        <v>5</v>
      </c>
      <c r="E1" s="1" t="s">
        <v>8</v>
      </c>
      <c r="F1" s="1" t="s">
        <v>1</v>
      </c>
      <c r="G1" t="s">
        <v>6</v>
      </c>
    </row>
    <row r="2" spans="1:7" x14ac:dyDescent="0.3">
      <c r="A2" s="1">
        <v>1401</v>
      </c>
      <c r="B2" s="1">
        <v>2578584</v>
      </c>
      <c r="C2" s="1">
        <v>30000</v>
      </c>
      <c r="D2" s="1">
        <v>174.1</v>
      </c>
      <c r="E2" s="1">
        <f>C2*100/D2</f>
        <v>17231.47616312464</v>
      </c>
      <c r="F2" s="1">
        <v>94222</v>
      </c>
      <c r="G2" s="1">
        <v>508019</v>
      </c>
    </row>
    <row r="3" spans="1:7" x14ac:dyDescent="0.3">
      <c r="A3" s="1">
        <v>1400</v>
      </c>
      <c r="B3" s="1">
        <v>2165952</v>
      </c>
      <c r="C3" s="1">
        <v>30000</v>
      </c>
      <c r="D3" s="1">
        <v>113</v>
      </c>
      <c r="E3" s="1">
        <f t="shared" ref="E3:E19" si="0">C3*100/D3</f>
        <v>26548.672566371682</v>
      </c>
      <c r="F3" s="1">
        <v>71820</v>
      </c>
      <c r="G3" s="1">
        <v>513639</v>
      </c>
    </row>
    <row r="4" spans="1:7" x14ac:dyDescent="0.3">
      <c r="A4" s="1">
        <v>1399</v>
      </c>
      <c r="B4" s="1">
        <v>1910534</v>
      </c>
      <c r="C4" s="1">
        <v>30000</v>
      </c>
      <c r="D4" s="1">
        <v>84.2</v>
      </c>
      <c r="E4" s="1">
        <f t="shared" si="0"/>
        <v>35629.453681710213</v>
      </c>
      <c r="F4" s="1">
        <v>72691</v>
      </c>
      <c r="G4" s="1">
        <v>512664</v>
      </c>
    </row>
    <row r="5" spans="1:7" x14ac:dyDescent="0.3">
      <c r="A5" s="1">
        <v>1398</v>
      </c>
      <c r="B5" s="1">
        <v>2255025</v>
      </c>
      <c r="C5" s="1">
        <v>30000</v>
      </c>
      <c r="D5" s="1">
        <v>56.6</v>
      </c>
      <c r="E5" s="1">
        <f t="shared" si="0"/>
        <v>53003.53356890459</v>
      </c>
      <c r="F5" s="1">
        <v>70628</v>
      </c>
      <c r="G5" s="1">
        <v>630550</v>
      </c>
    </row>
    <row r="6" spans="1:7" x14ac:dyDescent="0.3">
      <c r="A6" s="1">
        <v>1397</v>
      </c>
      <c r="B6" s="2">
        <v>2251319</v>
      </c>
      <c r="C6" s="1">
        <v>10000</v>
      </c>
      <c r="D6" s="1">
        <v>46.4</v>
      </c>
      <c r="E6" s="1">
        <f t="shared" si="0"/>
        <v>21551.724137931036</v>
      </c>
      <c r="F6" s="1">
        <v>63329</v>
      </c>
      <c r="G6" s="1">
        <v>654000</v>
      </c>
    </row>
    <row r="7" spans="1:7" x14ac:dyDescent="0.3">
      <c r="A7" s="1">
        <v>1396</v>
      </c>
      <c r="B7" s="1">
        <v>2092867</v>
      </c>
      <c r="C7" s="1">
        <v>10000</v>
      </c>
      <c r="D7" s="1">
        <v>31.5</v>
      </c>
      <c r="E7" s="1">
        <f t="shared" si="0"/>
        <v>31746.031746031746</v>
      </c>
      <c r="F7" s="1">
        <v>118637</v>
      </c>
      <c r="G7" s="1">
        <v>721000</v>
      </c>
    </row>
    <row r="8" spans="1:7" x14ac:dyDescent="0.3">
      <c r="A8" s="1">
        <v>1395</v>
      </c>
      <c r="B8" s="1">
        <v>1980122</v>
      </c>
      <c r="C8" s="1">
        <v>10000</v>
      </c>
      <c r="D8" s="1">
        <v>29.4</v>
      </c>
      <c r="E8" s="1">
        <f t="shared" si="0"/>
        <v>34013.605442176871</v>
      </c>
      <c r="F8" s="6">
        <v>112746</v>
      </c>
      <c r="G8" s="1">
        <v>721000</v>
      </c>
    </row>
    <row r="9" spans="1:7" x14ac:dyDescent="0.3">
      <c r="A9" s="1">
        <v>1394</v>
      </c>
      <c r="B9" s="1">
        <v>1876510</v>
      </c>
      <c r="C9" s="1">
        <v>10000</v>
      </c>
      <c r="D9" s="1">
        <v>27.1</v>
      </c>
      <c r="E9" s="1">
        <f t="shared" si="0"/>
        <v>36900.369003690037</v>
      </c>
      <c r="F9" s="1">
        <v>106856</v>
      </c>
      <c r="G9" s="1">
        <v>766000</v>
      </c>
    </row>
    <row r="10" spans="1:7" x14ac:dyDescent="0.3">
      <c r="A10" s="1">
        <v>1393</v>
      </c>
      <c r="B10" s="1">
        <v>1852396</v>
      </c>
      <c r="C10" s="1">
        <v>10000</v>
      </c>
      <c r="D10" s="1">
        <v>25</v>
      </c>
      <c r="E10" s="1">
        <f t="shared" si="0"/>
        <v>40000</v>
      </c>
      <c r="F10" s="1">
        <v>151846</v>
      </c>
      <c r="G10" s="1">
        <v>791000</v>
      </c>
    </row>
    <row r="11" spans="1:7" x14ac:dyDescent="0.3">
      <c r="A11" s="1">
        <v>1392</v>
      </c>
      <c r="B11" s="1">
        <v>1741452</v>
      </c>
      <c r="C11" s="1">
        <v>7000</v>
      </c>
      <c r="D11" s="1">
        <v>22</v>
      </c>
      <c r="E11" s="1">
        <f t="shared" si="0"/>
        <v>31818.18181818182</v>
      </c>
      <c r="F11" s="1">
        <v>84331</v>
      </c>
      <c r="G11" s="1">
        <v>663000</v>
      </c>
    </row>
    <row r="12" spans="1:7" x14ac:dyDescent="0.3">
      <c r="A12" s="1">
        <v>1391</v>
      </c>
      <c r="B12" s="1">
        <v>1647420</v>
      </c>
      <c r="C12" s="1">
        <v>7000</v>
      </c>
      <c r="D12" s="1">
        <v>18.399999999999999</v>
      </c>
      <c r="E12" s="1">
        <f t="shared" si="0"/>
        <v>38043.478260869568</v>
      </c>
      <c r="F12" s="1">
        <v>98156</v>
      </c>
      <c r="G12" s="1">
        <v>731000</v>
      </c>
    </row>
    <row r="13" spans="1:7" x14ac:dyDescent="0.3">
      <c r="A13" s="1">
        <v>1390</v>
      </c>
      <c r="B13" s="1">
        <v>1572788</v>
      </c>
      <c r="C13" s="1">
        <v>7000</v>
      </c>
      <c r="D13" s="1">
        <v>13.3</v>
      </c>
      <c r="E13" s="1">
        <f t="shared" si="0"/>
        <v>52631.57894736842</v>
      </c>
      <c r="F13" s="1">
        <v>127320</v>
      </c>
      <c r="G13" s="1">
        <v>703000</v>
      </c>
    </row>
    <row r="14" spans="1:7" x14ac:dyDescent="0.3">
      <c r="A14" s="1">
        <v>1389</v>
      </c>
      <c r="B14" s="1">
        <v>1614934</v>
      </c>
      <c r="C14" s="1">
        <v>7000</v>
      </c>
      <c r="D14" s="1">
        <v>11</v>
      </c>
      <c r="E14" s="1">
        <f t="shared" si="0"/>
        <v>63636.36363636364</v>
      </c>
      <c r="F14" s="1">
        <v>117450</v>
      </c>
      <c r="G14" s="1">
        <v>757000</v>
      </c>
    </row>
    <row r="15" spans="1:7" x14ac:dyDescent="0.3">
      <c r="A15" s="1">
        <v>1388</v>
      </c>
      <c r="B15" s="1">
        <v>1754445</v>
      </c>
      <c r="C15" s="1">
        <v>4000</v>
      </c>
      <c r="D15" s="1">
        <v>8.9</v>
      </c>
      <c r="E15" s="1">
        <f t="shared" si="0"/>
        <v>44943.8202247191</v>
      </c>
      <c r="F15" s="1">
        <v>150860</v>
      </c>
      <c r="G15" s="1">
        <v>799000</v>
      </c>
    </row>
    <row r="16" spans="1:7" x14ac:dyDescent="0.3">
      <c r="A16" s="1">
        <v>1387</v>
      </c>
      <c r="B16" s="1">
        <v>1822339</v>
      </c>
      <c r="C16" s="1">
        <v>4000</v>
      </c>
      <c r="D16" s="1">
        <v>8.1999999999999993</v>
      </c>
      <c r="E16" s="1">
        <f t="shared" si="0"/>
        <v>48780.487804878052</v>
      </c>
      <c r="F16" s="1">
        <v>151081</v>
      </c>
      <c r="G16" s="1">
        <v>737000</v>
      </c>
    </row>
    <row r="17" spans="1:7" x14ac:dyDescent="0.3">
      <c r="A17" s="1">
        <v>1386</v>
      </c>
      <c r="B17" s="1">
        <v>1753208</v>
      </c>
      <c r="C17" s="1">
        <v>4000</v>
      </c>
      <c r="D17" s="1">
        <v>6.8</v>
      </c>
      <c r="E17" s="1">
        <f t="shared" si="0"/>
        <v>58823.529411764706</v>
      </c>
      <c r="F17" s="1">
        <v>176220</v>
      </c>
      <c r="G17" s="1">
        <v>729000</v>
      </c>
    </row>
    <row r="18" spans="1:7" x14ac:dyDescent="0.3">
      <c r="A18" s="1">
        <v>1385</v>
      </c>
      <c r="B18" s="1">
        <v>1930213</v>
      </c>
      <c r="C18" s="1">
        <v>800</v>
      </c>
      <c r="D18" s="1">
        <v>5.6</v>
      </c>
      <c r="E18" s="1">
        <f t="shared" si="0"/>
        <v>14285.714285714286</v>
      </c>
      <c r="F18" s="1">
        <v>171084</v>
      </c>
      <c r="G18" s="1">
        <v>648000</v>
      </c>
    </row>
    <row r="19" spans="1:7" x14ac:dyDescent="0.3">
      <c r="A19" s="1">
        <v>1384</v>
      </c>
      <c r="B19" s="1">
        <v>1823019</v>
      </c>
      <c r="C19" s="1">
        <v>800</v>
      </c>
      <c r="D19" s="1">
        <v>4.9000000000000004</v>
      </c>
      <c r="E19" s="1">
        <f t="shared" si="0"/>
        <v>16326.530612244896</v>
      </c>
      <c r="F19" s="1">
        <v>190406</v>
      </c>
      <c r="G19" s="1">
        <v>586000</v>
      </c>
    </row>
    <row r="20" spans="1:7" x14ac:dyDescent="0.3">
      <c r="A20" s="1">
        <v>1383</v>
      </c>
      <c r="B20" s="1">
        <v>1652488</v>
      </c>
      <c r="C20" s="1">
        <v>800</v>
      </c>
      <c r="D20" s="1">
        <v>4.4000000000000004</v>
      </c>
      <c r="E20" s="1">
        <f>C20*100/D20</f>
        <v>18181.81818181818</v>
      </c>
      <c r="F20" s="6">
        <v>185325</v>
      </c>
      <c r="G20" s="1">
        <v>579000</v>
      </c>
    </row>
    <row r="21" spans="1:7" x14ac:dyDescent="0.3">
      <c r="A21" s="1">
        <v>1382</v>
      </c>
      <c r="B21" s="3"/>
      <c r="C21" s="3"/>
      <c r="D21" s="3"/>
      <c r="E21" s="3">
        <v>3.8</v>
      </c>
    </row>
    <row r="22" spans="1:7" x14ac:dyDescent="0.3">
      <c r="A22" s="1">
        <v>1381</v>
      </c>
      <c r="B22" s="3"/>
      <c r="C22" s="3"/>
      <c r="D22" s="3"/>
      <c r="E22" s="3">
        <v>3.3</v>
      </c>
    </row>
    <row r="23" spans="1:7" x14ac:dyDescent="0.3">
      <c r="A23" s="1">
        <v>1380</v>
      </c>
      <c r="B23" s="3"/>
      <c r="C23" s="3"/>
      <c r="D23" s="3"/>
      <c r="E23" s="3">
        <v>3</v>
      </c>
    </row>
    <row r="24" spans="1:7" x14ac:dyDescent="0.3">
      <c r="A24" s="1">
        <v>1379</v>
      </c>
      <c r="B24" s="3"/>
      <c r="C24" s="3"/>
      <c r="D24" s="3"/>
      <c r="E24" s="3">
        <v>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53FD-47AA-4A33-AA3C-A73BFC18C04F}">
  <dimension ref="A1:G24"/>
  <sheetViews>
    <sheetView zoomScale="69" workbookViewId="0">
      <selection activeCell="A6" sqref="A6"/>
    </sheetView>
  </sheetViews>
  <sheetFormatPr defaultRowHeight="14.4" x14ac:dyDescent="0.3"/>
  <cols>
    <col min="1" max="1" width="10.21875" style="1" customWidth="1"/>
    <col min="2" max="2" width="20.33203125" style="1" customWidth="1"/>
    <col min="3" max="3" width="18.109375" style="1" customWidth="1"/>
    <col min="4" max="4" width="13.5546875" style="1" customWidth="1"/>
    <col min="5" max="5" width="15.6640625" style="1" customWidth="1"/>
    <col min="6" max="6" width="23.88671875" style="1" customWidth="1"/>
    <col min="7" max="16384" width="8.88671875" style="1"/>
  </cols>
  <sheetData>
    <row r="1" spans="1:7" x14ac:dyDescent="0.3">
      <c r="A1" s="1" t="s">
        <v>4</v>
      </c>
      <c r="B1" s="1" t="s">
        <v>3</v>
      </c>
      <c r="C1" s="1" t="s">
        <v>2</v>
      </c>
      <c r="D1" s="1" t="s">
        <v>0</v>
      </c>
      <c r="E1" s="5" t="s">
        <v>8</v>
      </c>
      <c r="F1" s="1" t="s">
        <v>1</v>
      </c>
      <c r="G1" t="s">
        <v>6</v>
      </c>
    </row>
    <row r="2" spans="1:7" x14ac:dyDescent="0.3">
      <c r="A2" s="1">
        <v>1401</v>
      </c>
      <c r="B2" s="3"/>
      <c r="C2" s="3">
        <v>30000</v>
      </c>
      <c r="D2" s="3">
        <v>174.1</v>
      </c>
      <c r="E2" s="1">
        <f>C2*100/D2</f>
        <v>17231.47616312464</v>
      </c>
      <c r="F2" s="3">
        <v>122976</v>
      </c>
    </row>
    <row r="3" spans="1:7" x14ac:dyDescent="0.3">
      <c r="A3" s="1">
        <v>1400</v>
      </c>
      <c r="B3" s="3">
        <v>2117252</v>
      </c>
      <c r="C3" s="3">
        <v>30000</v>
      </c>
      <c r="D3" s="3">
        <v>113</v>
      </c>
      <c r="E3" s="1">
        <f t="shared" ref="E3:E24" si="0">C3*100/D3</f>
        <v>26548.672566371682</v>
      </c>
      <c r="F3" s="3">
        <v>89431</v>
      </c>
    </row>
    <row r="4" spans="1:7" x14ac:dyDescent="0.3">
      <c r="A4" s="1">
        <v>1399</v>
      </c>
      <c r="B4" s="3"/>
      <c r="C4" s="3">
        <v>30000</v>
      </c>
      <c r="D4" s="3">
        <v>84.2</v>
      </c>
      <c r="E4" s="1">
        <f t="shared" si="0"/>
        <v>35629.453681710213</v>
      </c>
      <c r="F4" s="3">
        <v>85670</v>
      </c>
    </row>
    <row r="5" spans="1:7" x14ac:dyDescent="0.3">
      <c r="A5" s="1">
        <v>1398</v>
      </c>
      <c r="B5" s="3"/>
      <c r="C5" s="3">
        <v>30000</v>
      </c>
      <c r="D5" s="3">
        <v>56.6</v>
      </c>
      <c r="E5" s="1">
        <f t="shared" si="0"/>
        <v>53003.53356890459</v>
      </c>
      <c r="F5" s="3">
        <v>86036</v>
      </c>
    </row>
    <row r="6" spans="1:7" x14ac:dyDescent="0.3">
      <c r="A6" s="1">
        <v>1397</v>
      </c>
      <c r="B6" s="1">
        <v>2092130</v>
      </c>
      <c r="C6" s="1">
        <v>10000</v>
      </c>
      <c r="D6" s="1">
        <v>46.4</v>
      </c>
      <c r="E6" s="1">
        <f t="shared" si="0"/>
        <v>21551.724137931036</v>
      </c>
      <c r="F6" s="1">
        <v>74050</v>
      </c>
      <c r="G6" s="1">
        <v>736060</v>
      </c>
    </row>
    <row r="7" spans="1:7" x14ac:dyDescent="0.3">
      <c r="A7" s="1">
        <v>1396</v>
      </c>
      <c r="B7" s="1">
        <v>1865272</v>
      </c>
      <c r="C7" s="1">
        <v>10000</v>
      </c>
      <c r="D7" s="1">
        <v>31.5</v>
      </c>
      <c r="E7" s="1">
        <f t="shared" si="0"/>
        <v>31746.031746031746</v>
      </c>
      <c r="F7" s="1">
        <v>124308</v>
      </c>
      <c r="G7" s="1">
        <v>767022</v>
      </c>
    </row>
    <row r="8" spans="1:7" x14ac:dyDescent="0.3">
      <c r="A8" s="1">
        <v>1395</v>
      </c>
      <c r="B8" s="1">
        <v>1738547</v>
      </c>
      <c r="C8" s="1">
        <v>10000</v>
      </c>
      <c r="D8" s="1">
        <v>29.4</v>
      </c>
      <c r="E8" s="1">
        <f t="shared" si="0"/>
        <v>34013.605442176871</v>
      </c>
      <c r="F8" s="6">
        <v>115425</v>
      </c>
      <c r="G8" s="1">
        <v>768841</v>
      </c>
    </row>
    <row r="9" spans="1:7" x14ac:dyDescent="0.3">
      <c r="A9" s="1">
        <v>1394</v>
      </c>
      <c r="B9" s="1">
        <v>1657245</v>
      </c>
      <c r="C9" s="1">
        <v>10000</v>
      </c>
      <c r="D9" s="1">
        <v>27.1</v>
      </c>
      <c r="E9" s="1">
        <f t="shared" si="0"/>
        <v>36900.369003690037</v>
      </c>
      <c r="F9" s="1">
        <v>106542</v>
      </c>
      <c r="G9" s="1">
        <v>834165</v>
      </c>
    </row>
    <row r="10" spans="1:7" x14ac:dyDescent="0.3">
      <c r="A10" s="1">
        <v>1393</v>
      </c>
      <c r="B10" s="1">
        <v>1604276</v>
      </c>
      <c r="C10" s="1">
        <v>10000</v>
      </c>
      <c r="D10" s="1">
        <v>25</v>
      </c>
      <c r="E10" s="1">
        <f t="shared" si="0"/>
        <v>40000</v>
      </c>
      <c r="F10" s="1">
        <v>149422</v>
      </c>
      <c r="G10" s="1">
        <v>897689</v>
      </c>
    </row>
    <row r="11" spans="1:7" x14ac:dyDescent="0.3">
      <c r="A11" s="1">
        <v>1392</v>
      </c>
      <c r="B11" s="1">
        <v>1566008</v>
      </c>
      <c r="C11" s="1">
        <v>7000</v>
      </c>
      <c r="D11" s="1">
        <v>22</v>
      </c>
      <c r="E11" s="1">
        <f t="shared" si="0"/>
        <v>31818.18181818182</v>
      </c>
      <c r="F11" s="1">
        <v>95548</v>
      </c>
      <c r="G11" s="1">
        <v>1044092</v>
      </c>
    </row>
    <row r="12" spans="1:7" x14ac:dyDescent="0.3">
      <c r="A12" s="1">
        <v>1391</v>
      </c>
      <c r="B12" s="1">
        <v>1427802</v>
      </c>
      <c r="C12" s="1">
        <v>7000</v>
      </c>
      <c r="D12" s="1">
        <v>18.399999999999999</v>
      </c>
      <c r="E12" s="1">
        <f t="shared" si="0"/>
        <v>38043.478260869568</v>
      </c>
      <c r="F12" s="1">
        <v>97796</v>
      </c>
      <c r="G12" s="1">
        <v>1020000</v>
      </c>
    </row>
    <row r="13" spans="1:7" x14ac:dyDescent="0.3">
      <c r="A13" s="1">
        <v>1390</v>
      </c>
      <c r="B13" s="1">
        <v>1358145</v>
      </c>
      <c r="C13" s="1">
        <v>7000</v>
      </c>
      <c r="D13" s="1">
        <v>13.3</v>
      </c>
      <c r="E13" s="1">
        <f t="shared" si="0"/>
        <v>52631.57894736842</v>
      </c>
      <c r="F13" s="1">
        <v>173469</v>
      </c>
      <c r="G13" s="1">
        <v>1085466</v>
      </c>
    </row>
    <row r="14" spans="1:7" x14ac:dyDescent="0.3">
      <c r="A14" s="1">
        <v>1389</v>
      </c>
      <c r="B14" s="1">
        <v>1406966</v>
      </c>
      <c r="C14" s="1">
        <v>7000</v>
      </c>
      <c r="D14" s="1">
        <v>11</v>
      </c>
      <c r="E14" s="1">
        <f t="shared" si="0"/>
        <v>63636.36363636364</v>
      </c>
      <c r="F14" s="1">
        <v>146141</v>
      </c>
      <c r="G14" s="1">
        <v>1229000</v>
      </c>
    </row>
    <row r="15" spans="1:7" x14ac:dyDescent="0.3">
      <c r="A15" s="1">
        <v>1388</v>
      </c>
      <c r="B15" s="1">
        <v>1523065</v>
      </c>
      <c r="C15" s="1">
        <v>4000</v>
      </c>
      <c r="D15" s="1">
        <v>8.9</v>
      </c>
      <c r="E15" s="1">
        <f t="shared" si="0"/>
        <v>44943.8202247191</v>
      </c>
      <c r="F15" s="1">
        <v>99639</v>
      </c>
      <c r="G15" s="1">
        <v>1216000</v>
      </c>
    </row>
    <row r="16" spans="1:7" x14ac:dyDescent="0.3">
      <c r="A16" s="1">
        <v>1387</v>
      </c>
      <c r="B16" s="1">
        <v>1568749</v>
      </c>
      <c r="C16" s="1">
        <v>4000</v>
      </c>
      <c r="D16" s="1">
        <v>8.1999999999999993</v>
      </c>
      <c r="E16" s="1">
        <f t="shared" si="0"/>
        <v>48780.487804878052</v>
      </c>
      <c r="F16" s="1">
        <v>146728</v>
      </c>
      <c r="G16" s="1">
        <v>1184000</v>
      </c>
    </row>
    <row r="17" spans="1:7" x14ac:dyDescent="0.3">
      <c r="A17" s="1">
        <v>1386</v>
      </c>
      <c r="B17" s="1">
        <v>1565000</v>
      </c>
      <c r="C17" s="1">
        <v>4000</v>
      </c>
      <c r="D17" s="1">
        <v>6.8</v>
      </c>
      <c r="E17" s="1">
        <f t="shared" si="0"/>
        <v>58823.529411764706</v>
      </c>
      <c r="F17" s="1">
        <v>168776</v>
      </c>
      <c r="G17" s="1">
        <v>996000</v>
      </c>
    </row>
    <row r="18" spans="1:7" x14ac:dyDescent="0.3">
      <c r="A18" s="1">
        <v>1385</v>
      </c>
      <c r="B18" s="1">
        <v>1719472</v>
      </c>
      <c r="C18" s="1">
        <v>800</v>
      </c>
      <c r="D18" s="1">
        <v>5.6</v>
      </c>
      <c r="E18" s="1">
        <f t="shared" si="0"/>
        <v>14285.714285714286</v>
      </c>
      <c r="F18" s="1">
        <v>145658</v>
      </c>
      <c r="G18" s="1">
        <v>882000</v>
      </c>
    </row>
    <row r="19" spans="1:7" x14ac:dyDescent="0.3">
      <c r="A19" s="1">
        <v>1384</v>
      </c>
      <c r="B19" s="1">
        <v>1610756</v>
      </c>
      <c r="C19" s="1">
        <v>800</v>
      </c>
      <c r="D19" s="1">
        <v>4.9000000000000004</v>
      </c>
      <c r="E19" s="1">
        <f t="shared" si="0"/>
        <v>16326.530612244896</v>
      </c>
      <c r="F19" s="1">
        <v>166889</v>
      </c>
      <c r="G19" s="1">
        <v>881000</v>
      </c>
    </row>
    <row r="20" spans="1:7" x14ac:dyDescent="0.3">
      <c r="A20" s="1">
        <v>1383</v>
      </c>
      <c r="B20" s="1">
        <v>1480895</v>
      </c>
      <c r="C20" s="1">
        <v>800</v>
      </c>
      <c r="D20" s="1">
        <v>4.4000000000000004</v>
      </c>
      <c r="E20" s="1">
        <f t="shared" si="0"/>
        <v>18181.81818181818</v>
      </c>
      <c r="F20" s="6">
        <v>152124</v>
      </c>
      <c r="G20" s="1">
        <v>738000</v>
      </c>
    </row>
    <row r="21" spans="1:7" x14ac:dyDescent="0.3">
      <c r="A21" s="1">
        <v>1382</v>
      </c>
      <c r="B21" s="3"/>
      <c r="C21" s="3">
        <v>650</v>
      </c>
      <c r="D21" s="3">
        <v>3.8</v>
      </c>
      <c r="E21" s="1">
        <f t="shared" si="0"/>
        <v>17105.263157894737</v>
      </c>
      <c r="F21" s="3"/>
    </row>
    <row r="22" spans="1:7" x14ac:dyDescent="0.3">
      <c r="A22" s="1">
        <v>1381</v>
      </c>
      <c r="B22" s="3"/>
      <c r="C22" s="3">
        <v>500</v>
      </c>
      <c r="D22" s="3">
        <v>3.3</v>
      </c>
      <c r="E22" s="1">
        <f t="shared" si="0"/>
        <v>15151.515151515152</v>
      </c>
      <c r="F22" s="3"/>
    </row>
    <row r="23" spans="1:7" x14ac:dyDescent="0.3">
      <c r="A23" s="1">
        <v>1380</v>
      </c>
      <c r="B23" s="3">
        <v>1170430</v>
      </c>
      <c r="C23" s="3">
        <v>450</v>
      </c>
      <c r="D23" s="3">
        <v>3</v>
      </c>
      <c r="E23" s="1">
        <f t="shared" si="0"/>
        <v>15000</v>
      </c>
      <c r="F23" s="3"/>
    </row>
    <row r="24" spans="1:7" x14ac:dyDescent="0.3">
      <c r="A24" s="1">
        <v>1381</v>
      </c>
      <c r="B24" s="3"/>
      <c r="C24" s="3"/>
      <c r="D24" s="3">
        <v>2.7</v>
      </c>
      <c r="E24" s="1">
        <f t="shared" si="0"/>
        <v>0</v>
      </c>
      <c r="F2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DF79-CDC8-48EC-BDFA-4E722D141A0F}">
  <dimension ref="A1:G28"/>
  <sheetViews>
    <sheetView zoomScale="86" workbookViewId="0">
      <selection activeCell="E32" sqref="E32"/>
    </sheetView>
  </sheetViews>
  <sheetFormatPr defaultRowHeight="14.4" x14ac:dyDescent="0.3"/>
  <cols>
    <col min="1" max="1" width="8.88671875" style="1"/>
    <col min="2" max="2" width="19.5546875" style="1" customWidth="1"/>
    <col min="3" max="3" width="17.33203125" style="1" customWidth="1"/>
    <col min="4" max="4" width="15.21875" style="1" customWidth="1"/>
    <col min="5" max="5" width="16.109375" style="1" customWidth="1"/>
    <col min="6" max="6" width="24.77734375" style="1" customWidth="1"/>
    <col min="7" max="7" width="24.109375" style="1" customWidth="1"/>
    <col min="8" max="16384" width="8.88671875" style="1"/>
  </cols>
  <sheetData>
    <row r="1" spans="1:7" x14ac:dyDescent="0.3">
      <c r="A1" s="1" t="s">
        <v>4</v>
      </c>
      <c r="B1" s="1" t="s">
        <v>3</v>
      </c>
      <c r="C1" s="1" t="s">
        <v>2</v>
      </c>
      <c r="D1" s="1" t="s">
        <v>0</v>
      </c>
      <c r="E1" s="5" t="s">
        <v>8</v>
      </c>
      <c r="F1" s="1" t="s">
        <v>1</v>
      </c>
      <c r="G1" s="1" t="s">
        <v>6</v>
      </c>
    </row>
    <row r="2" spans="1:7" x14ac:dyDescent="0.3">
      <c r="A2" s="1">
        <v>1401</v>
      </c>
      <c r="B2" s="3"/>
      <c r="C2" s="3">
        <v>30000</v>
      </c>
      <c r="D2" s="3">
        <v>174.1</v>
      </c>
      <c r="E2" s="1">
        <f>C2*100/D2</f>
        <v>17231.47616312464</v>
      </c>
      <c r="F2" s="3">
        <v>63055</v>
      </c>
    </row>
    <row r="3" spans="1:7" x14ac:dyDescent="0.3">
      <c r="A3" s="1">
        <v>1400</v>
      </c>
      <c r="B3" s="3"/>
      <c r="C3" s="3">
        <v>30000</v>
      </c>
      <c r="D3" s="3">
        <v>113</v>
      </c>
      <c r="E3" s="1">
        <f t="shared" ref="E3:E24" si="0">C3*100/D3</f>
        <v>26548.672566371682</v>
      </c>
      <c r="F3" s="3">
        <v>87653</v>
      </c>
    </row>
    <row r="4" spans="1:7" x14ac:dyDescent="0.3">
      <c r="A4" s="1">
        <v>1399</v>
      </c>
      <c r="B4" s="3">
        <v>1004320</v>
      </c>
      <c r="C4" s="3">
        <v>30000</v>
      </c>
      <c r="D4" s="3">
        <v>84.2</v>
      </c>
      <c r="E4" s="1">
        <f t="shared" si="0"/>
        <v>35629.453681710213</v>
      </c>
      <c r="F4" s="3">
        <v>41525</v>
      </c>
    </row>
    <row r="5" spans="1:7" x14ac:dyDescent="0.3">
      <c r="A5" s="1">
        <v>1398</v>
      </c>
      <c r="B5" s="3"/>
      <c r="C5" s="3">
        <v>30000</v>
      </c>
      <c r="D5" s="3">
        <v>56.6</v>
      </c>
      <c r="E5" s="1">
        <f t="shared" si="0"/>
        <v>53003.53356890459</v>
      </c>
      <c r="F5" s="3">
        <v>39894</v>
      </c>
    </row>
    <row r="6" spans="1:7" x14ac:dyDescent="0.3">
      <c r="A6" s="1">
        <v>1397</v>
      </c>
      <c r="B6" s="1">
        <v>1153000</v>
      </c>
      <c r="C6" s="1">
        <v>10000</v>
      </c>
      <c r="D6" s="1">
        <v>46.4</v>
      </c>
      <c r="E6" s="1">
        <f t="shared" si="0"/>
        <v>21551.724137931036</v>
      </c>
      <c r="F6" s="1">
        <v>26593</v>
      </c>
      <c r="G6" s="1">
        <v>439713</v>
      </c>
    </row>
    <row r="7" spans="1:7" x14ac:dyDescent="0.3">
      <c r="A7" s="1">
        <v>1396</v>
      </c>
      <c r="B7" s="1">
        <v>1062983</v>
      </c>
      <c r="C7" s="1">
        <v>10000</v>
      </c>
      <c r="D7" s="1">
        <v>31.5</v>
      </c>
      <c r="E7" s="1">
        <f t="shared" si="0"/>
        <v>31746.031746031746</v>
      </c>
      <c r="F7" s="1">
        <v>45726</v>
      </c>
      <c r="G7" s="1">
        <v>419081</v>
      </c>
    </row>
    <row r="8" spans="1:7" x14ac:dyDescent="0.3">
      <c r="A8" s="1">
        <v>1395</v>
      </c>
      <c r="B8" s="1">
        <v>996456</v>
      </c>
      <c r="C8" s="1">
        <v>10000</v>
      </c>
      <c r="D8" s="1">
        <v>29.4</v>
      </c>
      <c r="E8" s="1">
        <f t="shared" si="0"/>
        <v>34013.605442176871</v>
      </c>
      <c r="F8" s="1">
        <v>44092</v>
      </c>
      <c r="G8" s="1">
        <v>413736</v>
      </c>
    </row>
    <row r="9" spans="1:7" x14ac:dyDescent="0.3">
      <c r="A9" s="1">
        <v>1394</v>
      </c>
      <c r="B9" s="1">
        <v>949688</v>
      </c>
      <c r="C9" s="1">
        <v>10000</v>
      </c>
      <c r="D9" s="1">
        <v>27.1</v>
      </c>
      <c r="E9" s="1">
        <f t="shared" si="0"/>
        <v>36900.369003690037</v>
      </c>
      <c r="F9" s="1">
        <v>42459</v>
      </c>
      <c r="G9" s="1">
        <v>437916</v>
      </c>
    </row>
    <row r="10" spans="1:7" x14ac:dyDescent="0.3">
      <c r="A10" s="1">
        <v>1393</v>
      </c>
      <c r="B10" s="1">
        <v>942677</v>
      </c>
      <c r="C10" s="1">
        <v>10000</v>
      </c>
      <c r="D10" s="1">
        <v>25</v>
      </c>
      <c r="E10" s="1">
        <f t="shared" si="0"/>
        <v>40000</v>
      </c>
      <c r="F10" s="1">
        <v>53064</v>
      </c>
      <c r="G10" s="1">
        <v>478957</v>
      </c>
    </row>
    <row r="11" spans="1:7" x14ac:dyDescent="0.3">
      <c r="A11" s="1">
        <v>1392</v>
      </c>
      <c r="B11" s="1">
        <v>979591</v>
      </c>
      <c r="C11" s="1">
        <v>7000</v>
      </c>
      <c r="D11" s="1">
        <v>22</v>
      </c>
      <c r="E11" s="1">
        <f t="shared" si="0"/>
        <v>31818.18181818182</v>
      </c>
      <c r="F11" s="1">
        <v>30612</v>
      </c>
      <c r="G11" s="1">
        <v>648895</v>
      </c>
    </row>
    <row r="12" spans="1:7" x14ac:dyDescent="0.3">
      <c r="A12" s="1">
        <v>1391</v>
      </c>
      <c r="B12" s="1">
        <v>904834</v>
      </c>
      <c r="C12" s="1">
        <v>7000</v>
      </c>
      <c r="D12" s="1">
        <v>18.399999999999999</v>
      </c>
      <c r="E12" s="1">
        <f t="shared" si="0"/>
        <v>38043.478260869568</v>
      </c>
      <c r="F12" s="1">
        <v>34989</v>
      </c>
      <c r="G12" s="1">
        <v>766415</v>
      </c>
    </row>
    <row r="13" spans="1:7" x14ac:dyDescent="0.3">
      <c r="A13" s="1">
        <v>1390</v>
      </c>
      <c r="B13" s="1">
        <v>841320</v>
      </c>
      <c r="C13" s="1">
        <v>7000</v>
      </c>
      <c r="D13" s="1">
        <v>13.3</v>
      </c>
      <c r="E13" s="1">
        <f t="shared" si="0"/>
        <v>52631.57894736842</v>
      </c>
      <c r="F13" s="1">
        <v>69425</v>
      </c>
      <c r="G13" s="1">
        <v>529270</v>
      </c>
    </row>
    <row r="14" spans="1:7" x14ac:dyDescent="0.3">
      <c r="A14" s="1">
        <v>1389</v>
      </c>
      <c r="B14" s="1">
        <v>869873</v>
      </c>
      <c r="C14" s="1">
        <v>7000</v>
      </c>
      <c r="D14" s="1">
        <v>11</v>
      </c>
      <c r="E14" s="1">
        <f t="shared" si="0"/>
        <v>63636.36363636364</v>
      </c>
      <c r="F14" s="1">
        <v>63529</v>
      </c>
      <c r="G14" s="1">
        <v>557914</v>
      </c>
    </row>
    <row r="15" spans="1:7" x14ac:dyDescent="0.3">
      <c r="A15" s="1">
        <v>1388</v>
      </c>
      <c r="B15" s="1">
        <v>966359</v>
      </c>
      <c r="C15" s="1">
        <v>4000</v>
      </c>
      <c r="D15" s="1">
        <v>8.9</v>
      </c>
      <c r="E15" s="1">
        <f t="shared" si="0"/>
        <v>44943.8202247191</v>
      </c>
      <c r="F15" s="1">
        <v>63485</v>
      </c>
      <c r="G15" s="1">
        <v>328127</v>
      </c>
    </row>
    <row r="16" spans="1:7" x14ac:dyDescent="0.3">
      <c r="A16" s="1">
        <v>1387</v>
      </c>
      <c r="B16" s="1">
        <v>1027170</v>
      </c>
      <c r="C16" s="1">
        <v>4000</v>
      </c>
      <c r="D16" s="1">
        <v>8.1999999999999993</v>
      </c>
      <c r="E16" s="1">
        <f t="shared" si="0"/>
        <v>48780.487804878052</v>
      </c>
      <c r="F16" s="1">
        <v>66389</v>
      </c>
      <c r="G16" s="1">
        <v>553359</v>
      </c>
    </row>
    <row r="17" spans="1:7" x14ac:dyDescent="0.3">
      <c r="A17" s="1">
        <v>1386</v>
      </c>
      <c r="B17" s="1">
        <v>1003444</v>
      </c>
      <c r="C17" s="1">
        <v>4000</v>
      </c>
      <c r="D17" s="1">
        <v>6.8</v>
      </c>
      <c r="E17" s="1">
        <f t="shared" si="0"/>
        <v>58823.529411764706</v>
      </c>
      <c r="F17" s="1">
        <v>67294</v>
      </c>
      <c r="G17" s="1">
        <v>522224</v>
      </c>
    </row>
    <row r="18" spans="1:7" x14ac:dyDescent="0.3">
      <c r="A18" s="1">
        <v>1385</v>
      </c>
      <c r="B18" s="1">
        <v>1150752</v>
      </c>
      <c r="C18" s="1">
        <v>800</v>
      </c>
      <c r="D18" s="1">
        <v>5.6</v>
      </c>
      <c r="E18" s="1">
        <f t="shared" si="0"/>
        <v>14285.714285714286</v>
      </c>
      <c r="F18" s="1">
        <v>93874</v>
      </c>
      <c r="G18" s="1">
        <v>469628</v>
      </c>
    </row>
    <row r="19" spans="1:7" x14ac:dyDescent="0.3">
      <c r="A19" s="1">
        <v>1384</v>
      </c>
      <c r="B19" s="1">
        <v>1296319</v>
      </c>
      <c r="C19" s="1">
        <v>800</v>
      </c>
      <c r="D19" s="1">
        <v>4.9000000000000004</v>
      </c>
      <c r="E19" s="1">
        <f t="shared" si="0"/>
        <v>16326.530612244896</v>
      </c>
      <c r="F19" s="1">
        <v>69084</v>
      </c>
    </row>
    <row r="20" spans="1:7" x14ac:dyDescent="0.3">
      <c r="A20" s="1">
        <v>1383</v>
      </c>
      <c r="B20" s="1">
        <v>1220244</v>
      </c>
      <c r="C20" s="1">
        <v>800</v>
      </c>
      <c r="D20" s="1">
        <v>4.4000000000000004</v>
      </c>
      <c r="E20" s="1">
        <f t="shared" si="0"/>
        <v>18181.81818181818</v>
      </c>
      <c r="F20" s="6">
        <v>61594</v>
      </c>
    </row>
    <row r="21" spans="1:7" x14ac:dyDescent="0.3">
      <c r="A21" s="1">
        <v>1382</v>
      </c>
      <c r="B21" s="3"/>
      <c r="C21" s="3">
        <v>650</v>
      </c>
      <c r="D21" s="3">
        <v>3.8</v>
      </c>
      <c r="E21" s="1">
        <f t="shared" si="0"/>
        <v>17105.263157894737</v>
      </c>
      <c r="F21" s="3"/>
    </row>
    <row r="22" spans="1:7" x14ac:dyDescent="0.3">
      <c r="A22" s="1">
        <v>1381</v>
      </c>
      <c r="B22" s="3"/>
      <c r="C22" s="3">
        <v>500</v>
      </c>
      <c r="D22" s="3">
        <v>3.3</v>
      </c>
      <c r="E22" s="1">
        <f t="shared" si="0"/>
        <v>15151.515151515152</v>
      </c>
      <c r="F22" s="3"/>
    </row>
    <row r="23" spans="1:7" x14ac:dyDescent="0.3">
      <c r="A23" s="1">
        <v>1380</v>
      </c>
      <c r="B23" s="3">
        <v>701653</v>
      </c>
      <c r="C23" s="3">
        <v>450</v>
      </c>
      <c r="D23" s="3">
        <v>3</v>
      </c>
      <c r="E23" s="1">
        <f t="shared" si="0"/>
        <v>15000</v>
      </c>
      <c r="F23" s="3"/>
    </row>
    <row r="24" spans="1:7" x14ac:dyDescent="0.3">
      <c r="A24" s="1">
        <v>1379</v>
      </c>
      <c r="B24" s="3"/>
      <c r="C24" s="3"/>
      <c r="D24" s="3">
        <v>2.7</v>
      </c>
      <c r="E24" s="1">
        <f t="shared" si="0"/>
        <v>0</v>
      </c>
      <c r="F24" s="3"/>
    </row>
    <row r="25" spans="1:7" x14ac:dyDescent="0.3">
      <c r="A25" s="1">
        <v>1378</v>
      </c>
      <c r="B25" s="3"/>
      <c r="C25" s="3"/>
      <c r="D25" s="3"/>
      <c r="F25" s="3"/>
    </row>
    <row r="26" spans="1:7" x14ac:dyDescent="0.3">
      <c r="A26" s="1">
        <v>1377</v>
      </c>
      <c r="B26" s="3"/>
      <c r="C26" s="3"/>
      <c r="D26" s="3"/>
      <c r="F26" s="3"/>
    </row>
    <row r="27" spans="1:7" x14ac:dyDescent="0.3">
      <c r="A27" s="1">
        <v>1376</v>
      </c>
      <c r="B27" s="3"/>
      <c r="C27" s="3"/>
      <c r="D27" s="3"/>
      <c r="F27" s="3"/>
    </row>
    <row r="28" spans="1:7" x14ac:dyDescent="0.3">
      <c r="A28" s="1">
        <v>1375</v>
      </c>
      <c r="B28" s="3"/>
      <c r="C28" s="3"/>
      <c r="D28" s="3"/>
      <c r="F2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1572-9516-492B-8AB9-23F5FDD0CF00}">
  <dimension ref="A1:H96"/>
  <sheetViews>
    <sheetView tabSelected="1" zoomScale="74" zoomScaleNormal="175" workbookViewId="0">
      <selection activeCell="G13" sqref="G13"/>
    </sheetView>
  </sheetViews>
  <sheetFormatPr defaultRowHeight="14.4" x14ac:dyDescent="0.3"/>
  <cols>
    <col min="1" max="1" width="18.44140625" style="1" customWidth="1"/>
    <col min="2" max="2" width="8.88671875" style="1"/>
    <col min="3" max="3" width="22.44140625" style="1" customWidth="1"/>
    <col min="4" max="4" width="16.44140625" style="1" customWidth="1"/>
    <col min="5" max="5" width="28.6640625" style="1" customWidth="1"/>
    <col min="6" max="6" width="15.5546875" style="1" customWidth="1"/>
    <col min="7" max="7" width="16.21875" style="1" customWidth="1"/>
    <col min="8" max="8" width="24.88671875" style="1" customWidth="1"/>
    <col min="9" max="16384" width="8.88671875" style="1"/>
  </cols>
  <sheetData>
    <row r="1" spans="1:8" x14ac:dyDescent="0.3">
      <c r="A1" s="1" t="s">
        <v>10</v>
      </c>
      <c r="B1" s="1" t="s">
        <v>4</v>
      </c>
      <c r="C1" s="1" t="s">
        <v>18</v>
      </c>
      <c r="D1" s="1" t="s">
        <v>7</v>
      </c>
      <c r="E1" s="1" t="s">
        <v>15</v>
      </c>
      <c r="F1" s="1" t="s">
        <v>19</v>
      </c>
      <c r="G1" s="1" t="s">
        <v>20</v>
      </c>
      <c r="H1" s="1" t="s">
        <v>21</v>
      </c>
    </row>
    <row r="2" spans="1:8" x14ac:dyDescent="0.3">
      <c r="A2" s="1" t="s">
        <v>11</v>
      </c>
      <c r="B2" s="1">
        <v>1401</v>
      </c>
      <c r="C2" s="4">
        <v>6484225</v>
      </c>
      <c r="D2" s="1">
        <v>30000</v>
      </c>
      <c r="E2" s="1">
        <v>174.1</v>
      </c>
      <c r="F2" s="1">
        <f>_xlfn.FLOOR.MATH(D2*100/E2)</f>
        <v>17231</v>
      </c>
      <c r="G2" s="1">
        <v>326116</v>
      </c>
      <c r="H2" s="1">
        <v>69607</v>
      </c>
    </row>
    <row r="3" spans="1:8" x14ac:dyDescent="0.3">
      <c r="A3" s="1" t="s">
        <v>11</v>
      </c>
      <c r="B3" s="1">
        <v>1400</v>
      </c>
      <c r="C3" s="4">
        <v>4845623</v>
      </c>
      <c r="D3" s="1">
        <v>30000</v>
      </c>
      <c r="E3" s="1">
        <v>113</v>
      </c>
      <c r="F3" s="1">
        <f t="shared" ref="F3:F6" si="0">_xlfn.FLOOR.MATH(D3*100/E3)</f>
        <v>26548</v>
      </c>
      <c r="G3" s="1">
        <v>220878</v>
      </c>
      <c r="H3" s="1">
        <v>100201</v>
      </c>
    </row>
    <row r="4" spans="1:8" x14ac:dyDescent="0.3">
      <c r="A4" s="1" t="s">
        <v>11</v>
      </c>
      <c r="B4" s="1">
        <v>1399</v>
      </c>
      <c r="C4" s="4">
        <v>4380000</v>
      </c>
      <c r="D4" s="1">
        <v>30000</v>
      </c>
      <c r="E4" s="1">
        <v>84.2</v>
      </c>
      <c r="F4" s="1">
        <f t="shared" si="0"/>
        <v>35629</v>
      </c>
      <c r="G4" s="1">
        <v>218424</v>
      </c>
      <c r="H4" s="1">
        <v>101640</v>
      </c>
    </row>
    <row r="5" spans="1:8" x14ac:dyDescent="0.3">
      <c r="A5" s="1" t="s">
        <v>11</v>
      </c>
      <c r="B5" s="1">
        <v>1398</v>
      </c>
      <c r="C5" s="4">
        <v>6190400</v>
      </c>
      <c r="D5" s="1">
        <v>30000</v>
      </c>
      <c r="E5" s="1">
        <v>56.6</v>
      </c>
      <c r="F5" s="1">
        <f t="shared" si="0"/>
        <v>53003</v>
      </c>
      <c r="G5" s="1">
        <v>230494</v>
      </c>
      <c r="H5" s="1">
        <v>114000</v>
      </c>
    </row>
    <row r="6" spans="1:8" x14ac:dyDescent="0.3">
      <c r="A6" s="1" t="s">
        <v>11</v>
      </c>
      <c r="B6" s="1">
        <v>1397</v>
      </c>
      <c r="C6" s="1">
        <v>6066002</v>
      </c>
      <c r="D6" s="1">
        <v>10000</v>
      </c>
      <c r="E6" s="1">
        <v>46.4</v>
      </c>
      <c r="F6" s="1">
        <f t="shared" si="0"/>
        <v>21551</v>
      </c>
      <c r="G6" s="1">
        <v>294013</v>
      </c>
      <c r="H6" s="1">
        <v>110000</v>
      </c>
    </row>
    <row r="7" spans="1:8" x14ac:dyDescent="0.3">
      <c r="A7" s="1" t="s">
        <v>11</v>
      </c>
      <c r="B7" s="1">
        <v>1396</v>
      </c>
      <c r="C7" s="1">
        <v>5715330</v>
      </c>
      <c r="D7" s="1">
        <v>10000</v>
      </c>
      <c r="E7" s="1">
        <v>31.5</v>
      </c>
      <c r="F7" s="1">
        <f>_xlfn.FLOOR.MATH(D7*100/E7)</f>
        <v>31746</v>
      </c>
      <c r="G7" s="1">
        <v>588870</v>
      </c>
      <c r="H7" s="1">
        <v>117000</v>
      </c>
    </row>
    <row r="8" spans="1:8" x14ac:dyDescent="0.3">
      <c r="A8" s="1" t="s">
        <v>11</v>
      </c>
      <c r="B8" s="1">
        <v>1395</v>
      </c>
      <c r="C8" s="1">
        <v>5447584</v>
      </c>
      <c r="D8" s="1">
        <v>10000</v>
      </c>
      <c r="E8" s="1">
        <v>29.4</v>
      </c>
      <c r="F8" s="1">
        <f t="shared" ref="F8:F22" si="1">_xlfn.FLOOR.MATH(D8*100/E8)</f>
        <v>34013</v>
      </c>
      <c r="G8" s="7">
        <v>518644</v>
      </c>
      <c r="H8" s="1">
        <v>141000</v>
      </c>
    </row>
    <row r="9" spans="1:8" x14ac:dyDescent="0.3">
      <c r="A9" s="1" t="s">
        <v>11</v>
      </c>
      <c r="B9" s="1">
        <v>1394</v>
      </c>
      <c r="C9" s="1">
        <v>4727192</v>
      </c>
      <c r="D9" s="1">
        <v>10000</v>
      </c>
      <c r="E9" s="1">
        <v>27.1</v>
      </c>
      <c r="F9" s="1">
        <f t="shared" si="1"/>
        <v>36900</v>
      </c>
      <c r="G9" s="1">
        <v>448419</v>
      </c>
      <c r="H9" s="1">
        <v>143000</v>
      </c>
    </row>
    <row r="10" spans="1:8" x14ac:dyDescent="0.3">
      <c r="A10" s="1" t="s">
        <v>11</v>
      </c>
      <c r="B10" s="1">
        <v>1393</v>
      </c>
      <c r="C10" s="1">
        <v>4504901</v>
      </c>
      <c r="D10" s="1">
        <v>10000</v>
      </c>
      <c r="E10" s="1">
        <v>25</v>
      </c>
      <c r="F10" s="1">
        <f t="shared" si="1"/>
        <v>40000</v>
      </c>
      <c r="G10" s="1">
        <v>539472</v>
      </c>
      <c r="H10" s="1">
        <v>137000</v>
      </c>
    </row>
    <row r="11" spans="1:8" x14ac:dyDescent="0.3">
      <c r="A11" s="1" t="s">
        <v>11</v>
      </c>
      <c r="B11" s="1">
        <v>1392</v>
      </c>
      <c r="C11" s="1">
        <v>4409441</v>
      </c>
      <c r="D11" s="1">
        <v>7000</v>
      </c>
      <c r="E11" s="1">
        <v>22</v>
      </c>
      <c r="F11" s="1">
        <f t="shared" si="1"/>
        <v>31818</v>
      </c>
      <c r="G11" s="1">
        <v>338309</v>
      </c>
      <c r="H11" s="1">
        <v>135000</v>
      </c>
    </row>
    <row r="12" spans="1:8" x14ac:dyDescent="0.3">
      <c r="A12" s="1" t="s">
        <v>11</v>
      </c>
      <c r="B12" s="1">
        <v>1391</v>
      </c>
      <c r="C12" s="1">
        <v>4263320</v>
      </c>
      <c r="D12" s="1">
        <v>7000</v>
      </c>
      <c r="E12" s="1">
        <v>18.399999999999999</v>
      </c>
      <c r="F12" s="1">
        <f t="shared" si="1"/>
        <v>38043</v>
      </c>
      <c r="G12" s="1">
        <v>376919</v>
      </c>
      <c r="H12" s="1">
        <v>152000</v>
      </c>
    </row>
    <row r="13" spans="1:8" x14ac:dyDescent="0.3">
      <c r="A13" s="1" t="s">
        <v>11</v>
      </c>
      <c r="B13" s="1">
        <v>1390</v>
      </c>
      <c r="C13" s="1">
        <v>4148456</v>
      </c>
      <c r="D13" s="1">
        <v>7000</v>
      </c>
      <c r="E13" s="1">
        <v>13.3</v>
      </c>
      <c r="F13" s="1">
        <f t="shared" si="1"/>
        <v>52631</v>
      </c>
      <c r="G13" s="1">
        <v>490855</v>
      </c>
      <c r="H13" s="1">
        <v>140000</v>
      </c>
    </row>
    <row r="14" spans="1:8" x14ac:dyDescent="0.3">
      <c r="A14" s="1" t="s">
        <v>11</v>
      </c>
      <c r="B14" s="1">
        <v>1389</v>
      </c>
      <c r="C14" s="1">
        <v>4178401</v>
      </c>
      <c r="D14" s="1">
        <v>7000</v>
      </c>
      <c r="E14" s="1">
        <v>11</v>
      </c>
      <c r="F14" s="1">
        <f t="shared" si="1"/>
        <v>63636</v>
      </c>
      <c r="G14" s="1">
        <v>487139</v>
      </c>
      <c r="H14" s="1">
        <v>175000</v>
      </c>
    </row>
    <row r="15" spans="1:8" x14ac:dyDescent="0.3">
      <c r="A15" s="1" t="s">
        <v>11</v>
      </c>
      <c r="B15" s="1">
        <v>1388</v>
      </c>
      <c r="C15" s="1">
        <v>6282684</v>
      </c>
      <c r="D15" s="1">
        <v>4000</v>
      </c>
      <c r="E15" s="1">
        <v>8.9</v>
      </c>
      <c r="F15" s="1">
        <f t="shared" si="1"/>
        <v>44943</v>
      </c>
      <c r="G15" s="1">
        <v>598254</v>
      </c>
      <c r="H15" s="1">
        <v>202000</v>
      </c>
    </row>
    <row r="16" spans="1:8" x14ac:dyDescent="0.3">
      <c r="A16" s="1" t="s">
        <v>11</v>
      </c>
      <c r="B16" s="1">
        <v>1387</v>
      </c>
      <c r="C16" s="1">
        <v>5554000</v>
      </c>
      <c r="D16" s="1">
        <v>4000</v>
      </c>
      <c r="E16" s="1">
        <v>8.1999999999999993</v>
      </c>
      <c r="F16" s="1">
        <f t="shared" si="1"/>
        <v>48780</v>
      </c>
      <c r="G16" s="1">
        <v>608731</v>
      </c>
      <c r="H16" s="1">
        <v>192000</v>
      </c>
    </row>
    <row r="17" spans="1:8" x14ac:dyDescent="0.3">
      <c r="A17" s="1" t="s">
        <v>11</v>
      </c>
      <c r="B17" s="1">
        <v>1386</v>
      </c>
      <c r="C17" s="1">
        <v>5216000</v>
      </c>
      <c r="D17" s="1">
        <v>4000</v>
      </c>
      <c r="E17" s="1">
        <v>6.8</v>
      </c>
      <c r="F17" s="1">
        <f t="shared" si="1"/>
        <v>58823</v>
      </c>
      <c r="G17" s="1">
        <v>650731</v>
      </c>
      <c r="H17" s="1">
        <v>201000</v>
      </c>
    </row>
    <row r="18" spans="1:8" x14ac:dyDescent="0.3">
      <c r="A18" s="1" t="s">
        <v>11</v>
      </c>
      <c r="B18" s="1">
        <v>1385</v>
      </c>
      <c r="C18" s="1">
        <v>4321600</v>
      </c>
      <c r="D18" s="1">
        <v>800</v>
      </c>
      <c r="E18" s="1">
        <v>5.6</v>
      </c>
      <c r="F18" s="1">
        <f t="shared" si="1"/>
        <v>14285</v>
      </c>
      <c r="G18" s="1">
        <v>559496</v>
      </c>
      <c r="H18" s="1">
        <v>197000</v>
      </c>
    </row>
    <row r="19" spans="1:8" x14ac:dyDescent="0.3">
      <c r="A19" s="1" t="s">
        <v>11</v>
      </c>
      <c r="B19" s="1">
        <v>1384</v>
      </c>
      <c r="C19" s="1">
        <v>5640908</v>
      </c>
      <c r="D19" s="1">
        <v>800</v>
      </c>
      <c r="E19" s="1">
        <v>4.9000000000000004</v>
      </c>
      <c r="F19" s="1">
        <f t="shared" si="1"/>
        <v>16326</v>
      </c>
      <c r="G19" s="1">
        <v>638700</v>
      </c>
      <c r="H19" s="1">
        <v>212000</v>
      </c>
    </row>
    <row r="20" spans="1:8" x14ac:dyDescent="0.3">
      <c r="A20" s="1" t="s">
        <v>11</v>
      </c>
      <c r="B20" s="1">
        <v>1383</v>
      </c>
      <c r="C20" s="1">
        <v>5266354</v>
      </c>
      <c r="D20" s="1">
        <v>800</v>
      </c>
      <c r="E20" s="1">
        <v>4.4000000000000004</v>
      </c>
      <c r="F20" s="1">
        <f t="shared" si="1"/>
        <v>18181</v>
      </c>
      <c r="G20" s="6">
        <v>613336</v>
      </c>
      <c r="H20" s="1">
        <v>196000</v>
      </c>
    </row>
    <row r="21" spans="1:8" x14ac:dyDescent="0.3">
      <c r="A21" s="1" t="s">
        <v>11</v>
      </c>
      <c r="B21" s="1">
        <v>1382</v>
      </c>
      <c r="C21" s="1">
        <v>4898000</v>
      </c>
      <c r="D21" s="1">
        <v>650</v>
      </c>
      <c r="E21" s="1">
        <v>3.8</v>
      </c>
      <c r="F21" s="1">
        <f t="shared" si="1"/>
        <v>17105</v>
      </c>
      <c r="G21" s="1">
        <v>587973</v>
      </c>
      <c r="H21" s="1">
        <v>185000</v>
      </c>
    </row>
    <row r="22" spans="1:8" x14ac:dyDescent="0.3">
      <c r="A22" s="1" t="s">
        <v>11</v>
      </c>
      <c r="B22" s="1">
        <v>1381</v>
      </c>
      <c r="C22" s="1">
        <v>4428000</v>
      </c>
      <c r="D22" s="1">
        <v>500</v>
      </c>
      <c r="E22" s="1">
        <v>3.3</v>
      </c>
      <c r="F22" s="1">
        <f t="shared" si="1"/>
        <v>15151</v>
      </c>
      <c r="G22" s="1">
        <v>427848</v>
      </c>
      <c r="H22" s="1">
        <v>186000</v>
      </c>
    </row>
    <row r="23" spans="1:8" x14ac:dyDescent="0.3">
      <c r="A23" s="1" t="s">
        <v>17</v>
      </c>
      <c r="B23" s="1">
        <v>1401</v>
      </c>
      <c r="C23" s="1">
        <v>1476062</v>
      </c>
      <c r="D23" s="1">
        <v>30000</v>
      </c>
      <c r="E23" s="1">
        <v>174.1</v>
      </c>
      <c r="F23" s="1">
        <f t="shared" ref="F23:F54" si="2">_xlfn.FLOOR.MATH(D23*100/E23)</f>
        <v>17231</v>
      </c>
      <c r="G23" s="1">
        <v>101297</v>
      </c>
      <c r="H23" s="1">
        <v>1018017</v>
      </c>
    </row>
    <row r="24" spans="1:8" x14ac:dyDescent="0.3">
      <c r="A24" s="1" t="s">
        <v>17</v>
      </c>
      <c r="B24" s="1">
        <v>1400</v>
      </c>
      <c r="C24" s="1">
        <v>1294791</v>
      </c>
      <c r="D24" s="1">
        <v>30000</v>
      </c>
      <c r="E24" s="1">
        <v>113</v>
      </c>
      <c r="F24" s="1">
        <f t="shared" si="2"/>
        <v>26548</v>
      </c>
      <c r="G24" s="1">
        <v>67773</v>
      </c>
      <c r="H24" s="1">
        <v>976541</v>
      </c>
    </row>
    <row r="25" spans="1:8" x14ac:dyDescent="0.3">
      <c r="A25" s="1" t="s">
        <v>17</v>
      </c>
      <c r="B25" s="1">
        <v>1399</v>
      </c>
      <c r="C25" s="1">
        <v>1320000</v>
      </c>
      <c r="D25" s="1">
        <v>30000</v>
      </c>
      <c r="E25" s="1">
        <v>84.2</v>
      </c>
      <c r="F25" s="1">
        <f t="shared" si="2"/>
        <v>35629</v>
      </c>
      <c r="G25" s="1">
        <v>69945</v>
      </c>
      <c r="H25" s="1">
        <v>887485</v>
      </c>
    </row>
    <row r="26" spans="1:8" x14ac:dyDescent="0.3">
      <c r="A26" s="1" t="s">
        <v>17</v>
      </c>
      <c r="B26" s="1">
        <v>1398</v>
      </c>
      <c r="C26" s="6">
        <v>1738000</v>
      </c>
      <c r="D26" s="1">
        <v>30000</v>
      </c>
      <c r="E26" s="1">
        <v>56.6</v>
      </c>
      <c r="F26" s="1">
        <f t="shared" si="2"/>
        <v>53003</v>
      </c>
      <c r="G26" s="1">
        <v>74511</v>
      </c>
      <c r="H26" s="1">
        <v>1001247</v>
      </c>
    </row>
    <row r="27" spans="1:8" x14ac:dyDescent="0.3">
      <c r="A27" s="1" t="s">
        <v>17</v>
      </c>
      <c r="B27" s="1">
        <v>1397</v>
      </c>
      <c r="C27" s="1">
        <v>2156000</v>
      </c>
      <c r="D27" s="1">
        <v>10000</v>
      </c>
      <c r="E27" s="1">
        <v>46.4</v>
      </c>
      <c r="F27" s="1">
        <f t="shared" si="2"/>
        <v>21551</v>
      </c>
      <c r="G27" s="1">
        <v>56483</v>
      </c>
      <c r="H27" s="1">
        <v>975645</v>
      </c>
    </row>
    <row r="28" spans="1:8" x14ac:dyDescent="0.3">
      <c r="A28" s="1" t="s">
        <v>17</v>
      </c>
      <c r="B28" s="1">
        <v>1396</v>
      </c>
      <c r="C28" s="1">
        <v>1963669</v>
      </c>
      <c r="D28" s="1">
        <v>10000</v>
      </c>
      <c r="E28" s="1">
        <v>31.5</v>
      </c>
      <c r="F28" s="1">
        <f t="shared" si="2"/>
        <v>31746</v>
      </c>
      <c r="G28" s="1">
        <v>118203</v>
      </c>
      <c r="H28" s="1">
        <v>988961</v>
      </c>
    </row>
    <row r="29" spans="1:8" x14ac:dyDescent="0.3">
      <c r="A29" s="1" t="s">
        <v>17</v>
      </c>
      <c r="B29" s="1">
        <v>1395</v>
      </c>
      <c r="C29" s="1">
        <v>1845941</v>
      </c>
      <c r="D29" s="1">
        <v>10000</v>
      </c>
      <c r="E29" s="1">
        <v>29.4</v>
      </c>
      <c r="F29" s="1">
        <f t="shared" si="2"/>
        <v>34013</v>
      </c>
      <c r="G29" s="6">
        <v>121299</v>
      </c>
      <c r="H29" s="1">
        <v>952494</v>
      </c>
    </row>
    <row r="30" spans="1:8" x14ac:dyDescent="0.3">
      <c r="A30" s="1" t="s">
        <v>17</v>
      </c>
      <c r="B30" s="1">
        <v>1394</v>
      </c>
      <c r="C30" s="1">
        <v>1772667</v>
      </c>
      <c r="D30" s="1">
        <v>10000</v>
      </c>
      <c r="E30" s="1">
        <v>27.1</v>
      </c>
      <c r="F30" s="1">
        <f t="shared" si="2"/>
        <v>36900</v>
      </c>
      <c r="G30" s="1">
        <v>124395</v>
      </c>
      <c r="H30" s="1">
        <v>956847</v>
      </c>
    </row>
    <row r="31" spans="1:8" x14ac:dyDescent="0.3">
      <c r="A31" s="1" t="s">
        <v>17</v>
      </c>
      <c r="B31" s="1">
        <v>1393</v>
      </c>
      <c r="C31" s="1">
        <v>1758172</v>
      </c>
      <c r="D31" s="1">
        <v>10000</v>
      </c>
      <c r="E31" s="1">
        <v>25</v>
      </c>
      <c r="F31" s="1">
        <f t="shared" si="2"/>
        <v>40000</v>
      </c>
      <c r="G31" s="1">
        <v>153459</v>
      </c>
      <c r="H31" s="1">
        <v>980359</v>
      </c>
    </row>
    <row r="32" spans="1:8" x14ac:dyDescent="0.3">
      <c r="A32" s="1" t="s">
        <v>17</v>
      </c>
      <c r="B32" s="1">
        <v>1392</v>
      </c>
      <c r="C32" s="1">
        <v>1630126</v>
      </c>
      <c r="D32" s="1">
        <v>7000</v>
      </c>
      <c r="E32" s="1">
        <v>22</v>
      </c>
      <c r="F32" s="1">
        <f t="shared" si="2"/>
        <v>31818</v>
      </c>
      <c r="G32" s="1">
        <v>61020</v>
      </c>
      <c r="H32" s="1">
        <v>996601</v>
      </c>
    </row>
    <row r="33" spans="1:8" x14ac:dyDescent="0.3">
      <c r="A33" s="1" t="s">
        <v>17</v>
      </c>
      <c r="B33" s="1">
        <v>1391</v>
      </c>
      <c r="C33" s="1">
        <v>1590157</v>
      </c>
      <c r="D33" s="1">
        <v>7000</v>
      </c>
      <c r="E33" s="1">
        <v>18.399999999999999</v>
      </c>
      <c r="F33" s="1">
        <f t="shared" si="2"/>
        <v>38043</v>
      </c>
      <c r="G33" s="1">
        <v>115550</v>
      </c>
      <c r="H33" s="1">
        <v>999676</v>
      </c>
    </row>
    <row r="34" spans="1:8" x14ac:dyDescent="0.3">
      <c r="A34" s="1" t="s">
        <v>17</v>
      </c>
      <c r="B34" s="1">
        <v>1390</v>
      </c>
      <c r="C34" s="1">
        <v>1488581</v>
      </c>
      <c r="D34" s="1">
        <v>7000</v>
      </c>
      <c r="E34" s="1">
        <v>13.3</v>
      </c>
      <c r="F34" s="1">
        <f t="shared" si="2"/>
        <v>52631</v>
      </c>
      <c r="G34" s="1">
        <v>212198</v>
      </c>
      <c r="H34" s="1">
        <v>988082</v>
      </c>
    </row>
    <row r="35" spans="1:8" x14ac:dyDescent="0.3">
      <c r="A35" s="1" t="s">
        <v>17</v>
      </c>
      <c r="B35" s="1">
        <v>1389</v>
      </c>
      <c r="C35" s="1">
        <v>1506077</v>
      </c>
      <c r="D35" s="1">
        <v>7000</v>
      </c>
      <c r="E35" s="1">
        <v>11</v>
      </c>
      <c r="F35" s="1">
        <f t="shared" si="2"/>
        <v>63636</v>
      </c>
      <c r="G35" s="1">
        <v>103510</v>
      </c>
      <c r="H35" s="1">
        <v>1030190</v>
      </c>
    </row>
    <row r="36" spans="1:8" x14ac:dyDescent="0.3">
      <c r="A36" s="1" t="s">
        <v>17</v>
      </c>
      <c r="B36" s="1">
        <v>1388</v>
      </c>
      <c r="C36" s="1">
        <v>1599503</v>
      </c>
      <c r="D36" s="1">
        <v>4000</v>
      </c>
      <c r="E36" s="1">
        <v>8.9</v>
      </c>
      <c r="F36" s="1">
        <f t="shared" si="2"/>
        <v>44943</v>
      </c>
      <c r="G36" s="1">
        <v>192989</v>
      </c>
      <c r="H36" s="1">
        <v>1056442</v>
      </c>
    </row>
    <row r="37" spans="1:8" x14ac:dyDescent="0.3">
      <c r="A37" s="1" t="s">
        <v>17</v>
      </c>
      <c r="B37" s="1">
        <v>1387</v>
      </c>
      <c r="C37" s="1">
        <v>1647157</v>
      </c>
      <c r="D37" s="1">
        <v>4000</v>
      </c>
      <c r="E37" s="1">
        <v>8.1999999999999993</v>
      </c>
      <c r="F37" s="1">
        <f t="shared" si="2"/>
        <v>48780</v>
      </c>
      <c r="G37" s="1">
        <v>175423</v>
      </c>
      <c r="H37" s="1">
        <v>1036103</v>
      </c>
    </row>
    <row r="38" spans="1:8" x14ac:dyDescent="0.3">
      <c r="A38" s="1" t="s">
        <v>17</v>
      </c>
      <c r="B38" s="1">
        <v>1386</v>
      </c>
      <c r="C38" s="1">
        <v>1577000</v>
      </c>
      <c r="D38" s="1">
        <v>4000</v>
      </c>
      <c r="E38" s="1">
        <v>6.8</v>
      </c>
      <c r="F38" s="1">
        <f t="shared" si="2"/>
        <v>58823</v>
      </c>
      <c r="G38" s="1">
        <v>213616</v>
      </c>
      <c r="H38" s="1">
        <v>903391</v>
      </c>
    </row>
    <row r="39" spans="1:8" x14ac:dyDescent="0.3">
      <c r="A39" s="1" t="s">
        <v>17</v>
      </c>
      <c r="B39" s="1">
        <v>1385</v>
      </c>
      <c r="C39" s="1">
        <v>1780119</v>
      </c>
      <c r="D39" s="1">
        <v>800</v>
      </c>
      <c r="E39" s="1">
        <v>5.6</v>
      </c>
      <c r="F39" s="1">
        <f t="shared" si="2"/>
        <v>14285</v>
      </c>
      <c r="G39" s="1">
        <v>189457</v>
      </c>
      <c r="H39" s="1">
        <v>835008</v>
      </c>
    </row>
    <row r="40" spans="1:8" x14ac:dyDescent="0.3">
      <c r="A40" s="1" t="s">
        <v>17</v>
      </c>
      <c r="B40" s="1">
        <v>1384</v>
      </c>
      <c r="C40" s="1">
        <v>1656068</v>
      </c>
      <c r="D40" s="1">
        <v>800</v>
      </c>
      <c r="E40" s="1">
        <v>4.9000000000000004</v>
      </c>
      <c r="F40" s="1">
        <f t="shared" si="2"/>
        <v>16326</v>
      </c>
      <c r="G40" s="1">
        <v>216526</v>
      </c>
      <c r="H40" s="1">
        <v>744213</v>
      </c>
    </row>
    <row r="41" spans="1:8" x14ac:dyDescent="0.3">
      <c r="A41" s="1" t="s">
        <v>17</v>
      </c>
      <c r="B41" s="1">
        <v>1383</v>
      </c>
      <c r="C41" s="1">
        <v>1531234</v>
      </c>
      <c r="D41" s="1">
        <v>800</v>
      </c>
      <c r="E41" s="1">
        <v>4.4000000000000004</v>
      </c>
      <c r="F41" s="1">
        <f t="shared" si="2"/>
        <v>18181</v>
      </c>
      <c r="G41" s="6">
        <v>175716</v>
      </c>
      <c r="H41" s="1">
        <v>695656</v>
      </c>
    </row>
    <row r="42" spans="1:8" x14ac:dyDescent="0.3">
      <c r="A42" s="1" t="s">
        <v>17</v>
      </c>
      <c r="B42" s="1">
        <v>1382</v>
      </c>
      <c r="C42" s="1">
        <v>1192515</v>
      </c>
      <c r="D42" s="1">
        <v>650</v>
      </c>
      <c r="E42" s="1">
        <v>3.8</v>
      </c>
      <c r="F42" s="1">
        <f t="shared" si="2"/>
        <v>17105</v>
      </c>
      <c r="G42" s="1">
        <v>134906</v>
      </c>
      <c r="H42" s="1">
        <v>770636</v>
      </c>
    </row>
    <row r="43" spans="1:8" x14ac:dyDescent="0.3">
      <c r="A43" s="1" t="s">
        <v>17</v>
      </c>
      <c r="B43" s="1">
        <v>1381</v>
      </c>
      <c r="C43" s="1">
        <v>1070739</v>
      </c>
      <c r="D43" s="1">
        <v>500</v>
      </c>
      <c r="E43" s="1">
        <v>3.3</v>
      </c>
      <c r="F43" s="1">
        <f t="shared" si="2"/>
        <v>15151</v>
      </c>
      <c r="G43" s="1">
        <v>47262</v>
      </c>
      <c r="H43" s="1">
        <v>806000</v>
      </c>
    </row>
    <row r="44" spans="1:8" x14ac:dyDescent="0.3">
      <c r="A44" s="1" t="s">
        <v>17</v>
      </c>
      <c r="B44" s="1">
        <v>1380</v>
      </c>
      <c r="C44" s="1">
        <v>1358886</v>
      </c>
      <c r="D44" s="1">
        <v>450</v>
      </c>
      <c r="E44" s="1">
        <v>3</v>
      </c>
      <c r="F44" s="1">
        <f t="shared" si="2"/>
        <v>15000</v>
      </c>
      <c r="G44" s="1">
        <v>33763</v>
      </c>
      <c r="H44" s="1">
        <v>860000</v>
      </c>
    </row>
    <row r="45" spans="1:8" x14ac:dyDescent="0.3">
      <c r="A45" s="1" t="s">
        <v>17</v>
      </c>
      <c r="B45" s="1">
        <v>1379</v>
      </c>
      <c r="C45" s="1">
        <v>1277403</v>
      </c>
      <c r="D45" s="1">
        <v>385</v>
      </c>
      <c r="E45" s="1">
        <v>2.7</v>
      </c>
      <c r="F45" s="1">
        <f t="shared" si="2"/>
        <v>14259</v>
      </c>
      <c r="G45" s="1">
        <v>25288</v>
      </c>
      <c r="H45" s="1">
        <v>881000</v>
      </c>
    </row>
    <row r="46" spans="1:8" x14ac:dyDescent="0.3">
      <c r="A46" s="1" t="s">
        <v>12</v>
      </c>
      <c r="B46" s="1">
        <v>1401</v>
      </c>
      <c r="C46" s="1">
        <v>2578584</v>
      </c>
      <c r="D46" s="1">
        <v>30000</v>
      </c>
      <c r="E46" s="1">
        <v>174.1</v>
      </c>
      <c r="F46" s="1">
        <f t="shared" si="2"/>
        <v>17231</v>
      </c>
      <c r="G46" s="1">
        <v>94222</v>
      </c>
      <c r="H46" s="1">
        <v>508019</v>
      </c>
    </row>
    <row r="47" spans="1:8" x14ac:dyDescent="0.3">
      <c r="A47" s="1" t="s">
        <v>12</v>
      </c>
      <c r="B47" s="1">
        <v>1400</v>
      </c>
      <c r="C47" s="1">
        <v>2165952</v>
      </c>
      <c r="D47" s="1">
        <v>30000</v>
      </c>
      <c r="E47" s="1">
        <v>113</v>
      </c>
      <c r="F47" s="1">
        <f t="shared" si="2"/>
        <v>26548</v>
      </c>
      <c r="G47" s="1">
        <v>71820</v>
      </c>
      <c r="H47" s="1">
        <v>513639</v>
      </c>
    </row>
    <row r="48" spans="1:8" x14ac:dyDescent="0.3">
      <c r="A48" s="1" t="s">
        <v>12</v>
      </c>
      <c r="B48" s="1">
        <v>1399</v>
      </c>
      <c r="C48" s="1">
        <v>1910534</v>
      </c>
      <c r="D48" s="1">
        <v>30000</v>
      </c>
      <c r="E48" s="1">
        <v>84.2</v>
      </c>
      <c r="F48" s="1">
        <f t="shared" si="2"/>
        <v>35629</v>
      </c>
      <c r="G48" s="1">
        <v>72691</v>
      </c>
      <c r="H48" s="1">
        <v>512664</v>
      </c>
    </row>
    <row r="49" spans="1:8" x14ac:dyDescent="0.3">
      <c r="A49" s="1" t="s">
        <v>12</v>
      </c>
      <c r="B49" s="1">
        <v>1398</v>
      </c>
      <c r="C49" s="1">
        <v>2255025</v>
      </c>
      <c r="D49" s="1">
        <v>30000</v>
      </c>
      <c r="E49" s="1">
        <v>56.6</v>
      </c>
      <c r="F49" s="1">
        <f t="shared" si="2"/>
        <v>53003</v>
      </c>
      <c r="G49" s="1">
        <v>70628</v>
      </c>
      <c r="H49" s="1">
        <v>630550</v>
      </c>
    </row>
    <row r="50" spans="1:8" x14ac:dyDescent="0.3">
      <c r="A50" s="1" t="s">
        <v>12</v>
      </c>
      <c r="B50" s="1">
        <v>1397</v>
      </c>
      <c r="C50" s="2">
        <v>2251319</v>
      </c>
      <c r="D50" s="1">
        <v>10000</v>
      </c>
      <c r="E50" s="1">
        <v>46.4</v>
      </c>
      <c r="F50" s="1">
        <f t="shared" si="2"/>
        <v>21551</v>
      </c>
      <c r="G50" s="1">
        <v>63329</v>
      </c>
      <c r="H50" s="1">
        <v>654000</v>
      </c>
    </row>
    <row r="51" spans="1:8" x14ac:dyDescent="0.3">
      <c r="A51" s="1" t="s">
        <v>12</v>
      </c>
      <c r="B51" s="1">
        <v>1396</v>
      </c>
      <c r="C51" s="1">
        <v>2092867</v>
      </c>
      <c r="D51" s="1">
        <v>10000</v>
      </c>
      <c r="E51" s="1">
        <v>31.5</v>
      </c>
      <c r="F51" s="1">
        <f t="shared" si="2"/>
        <v>31746</v>
      </c>
      <c r="G51" s="1">
        <v>118637</v>
      </c>
      <c r="H51" s="1">
        <v>721000</v>
      </c>
    </row>
    <row r="52" spans="1:8" x14ac:dyDescent="0.3">
      <c r="A52" s="1" t="s">
        <v>12</v>
      </c>
      <c r="B52" s="1">
        <v>1395</v>
      </c>
      <c r="C52" s="1">
        <v>1980122</v>
      </c>
      <c r="D52" s="1">
        <v>10000</v>
      </c>
      <c r="E52" s="1">
        <v>29.4</v>
      </c>
      <c r="F52" s="1">
        <f t="shared" si="2"/>
        <v>34013</v>
      </c>
      <c r="G52" s="6">
        <v>112746</v>
      </c>
      <c r="H52" s="1">
        <v>721000</v>
      </c>
    </row>
    <row r="53" spans="1:8" x14ac:dyDescent="0.3">
      <c r="A53" s="1" t="s">
        <v>12</v>
      </c>
      <c r="B53" s="1">
        <v>1394</v>
      </c>
      <c r="C53" s="1">
        <v>1876510</v>
      </c>
      <c r="D53" s="1">
        <v>10000</v>
      </c>
      <c r="E53" s="1">
        <v>27.1</v>
      </c>
      <c r="F53" s="1">
        <f t="shared" si="2"/>
        <v>36900</v>
      </c>
      <c r="G53" s="1">
        <v>106856</v>
      </c>
      <c r="H53" s="1">
        <v>766000</v>
      </c>
    </row>
    <row r="54" spans="1:8" x14ac:dyDescent="0.3">
      <c r="A54" s="1" t="s">
        <v>12</v>
      </c>
      <c r="B54" s="1">
        <v>1393</v>
      </c>
      <c r="C54" s="1">
        <v>1852396</v>
      </c>
      <c r="D54" s="1">
        <v>10000</v>
      </c>
      <c r="E54" s="1">
        <v>25</v>
      </c>
      <c r="F54" s="1">
        <f t="shared" si="2"/>
        <v>40000</v>
      </c>
      <c r="G54" s="1">
        <v>151846</v>
      </c>
      <c r="H54" s="1">
        <v>791000</v>
      </c>
    </row>
    <row r="55" spans="1:8" x14ac:dyDescent="0.3">
      <c r="A55" s="1" t="s">
        <v>12</v>
      </c>
      <c r="B55" s="1">
        <v>1392</v>
      </c>
      <c r="C55" s="1">
        <v>1741452</v>
      </c>
      <c r="D55" s="1">
        <v>7000</v>
      </c>
      <c r="E55" s="1">
        <v>22</v>
      </c>
      <c r="F55" s="1">
        <f t="shared" ref="F55:F86" si="3">_xlfn.FLOOR.MATH(D55*100/E55)</f>
        <v>31818</v>
      </c>
      <c r="G55" s="1">
        <v>84331</v>
      </c>
      <c r="H55" s="1">
        <v>663000</v>
      </c>
    </row>
    <row r="56" spans="1:8" x14ac:dyDescent="0.3">
      <c r="A56" s="1" t="s">
        <v>12</v>
      </c>
      <c r="B56" s="1">
        <v>1391</v>
      </c>
      <c r="C56" s="1">
        <v>1647420</v>
      </c>
      <c r="D56" s="1">
        <v>7000</v>
      </c>
      <c r="E56" s="1">
        <v>18.399999999999999</v>
      </c>
      <c r="F56" s="1">
        <f t="shared" si="3"/>
        <v>38043</v>
      </c>
      <c r="G56" s="1">
        <v>98156</v>
      </c>
      <c r="H56" s="1">
        <v>731000</v>
      </c>
    </row>
    <row r="57" spans="1:8" x14ac:dyDescent="0.3">
      <c r="A57" s="1" t="s">
        <v>12</v>
      </c>
      <c r="B57" s="1">
        <v>1390</v>
      </c>
      <c r="C57" s="1">
        <v>1572788</v>
      </c>
      <c r="D57" s="1">
        <v>7000</v>
      </c>
      <c r="E57" s="1">
        <v>13.3</v>
      </c>
      <c r="F57" s="1">
        <f t="shared" si="3"/>
        <v>52631</v>
      </c>
      <c r="G57" s="1">
        <v>127320</v>
      </c>
      <c r="H57" s="1">
        <v>703000</v>
      </c>
    </row>
    <row r="58" spans="1:8" x14ac:dyDescent="0.3">
      <c r="A58" s="1" t="s">
        <v>12</v>
      </c>
      <c r="B58" s="1">
        <v>1389</v>
      </c>
      <c r="C58" s="1">
        <v>1614934</v>
      </c>
      <c r="D58" s="1">
        <v>7000</v>
      </c>
      <c r="E58" s="1">
        <v>11</v>
      </c>
      <c r="F58" s="1">
        <f t="shared" si="3"/>
        <v>63636</v>
      </c>
      <c r="G58" s="1">
        <v>117450</v>
      </c>
      <c r="H58" s="1">
        <v>757000</v>
      </c>
    </row>
    <row r="59" spans="1:8" x14ac:dyDescent="0.3">
      <c r="A59" s="1" t="s">
        <v>12</v>
      </c>
      <c r="B59" s="1">
        <v>1388</v>
      </c>
      <c r="C59" s="1">
        <v>1754445</v>
      </c>
      <c r="D59" s="1">
        <v>4000</v>
      </c>
      <c r="E59" s="1">
        <v>8.9</v>
      </c>
      <c r="F59" s="1">
        <f t="shared" si="3"/>
        <v>44943</v>
      </c>
      <c r="G59" s="1">
        <v>150860</v>
      </c>
      <c r="H59" s="1">
        <v>799000</v>
      </c>
    </row>
    <row r="60" spans="1:8" x14ac:dyDescent="0.3">
      <c r="A60" s="1" t="s">
        <v>12</v>
      </c>
      <c r="B60" s="1">
        <v>1387</v>
      </c>
      <c r="C60" s="1">
        <v>1822339</v>
      </c>
      <c r="D60" s="1">
        <v>4000</v>
      </c>
      <c r="E60" s="1">
        <v>8.1999999999999993</v>
      </c>
      <c r="F60" s="1">
        <f t="shared" si="3"/>
        <v>48780</v>
      </c>
      <c r="G60" s="1">
        <v>151081</v>
      </c>
      <c r="H60" s="1">
        <v>737000</v>
      </c>
    </row>
    <row r="61" spans="1:8" x14ac:dyDescent="0.3">
      <c r="A61" s="1" t="s">
        <v>12</v>
      </c>
      <c r="B61" s="1">
        <v>1386</v>
      </c>
      <c r="C61" s="1">
        <v>1753208</v>
      </c>
      <c r="D61" s="1">
        <v>4000</v>
      </c>
      <c r="E61" s="1">
        <v>6.8</v>
      </c>
      <c r="F61" s="1">
        <f t="shared" si="3"/>
        <v>58823</v>
      </c>
      <c r="G61" s="1">
        <v>176220</v>
      </c>
      <c r="H61" s="1">
        <v>729000</v>
      </c>
    </row>
    <row r="62" spans="1:8" x14ac:dyDescent="0.3">
      <c r="A62" s="1" t="s">
        <v>12</v>
      </c>
      <c r="B62" s="1">
        <v>1385</v>
      </c>
      <c r="C62" s="1">
        <v>1930213</v>
      </c>
      <c r="D62" s="1">
        <v>800</v>
      </c>
      <c r="E62" s="1">
        <v>5.6</v>
      </c>
      <c r="F62" s="1">
        <f t="shared" si="3"/>
        <v>14285</v>
      </c>
      <c r="G62" s="1">
        <v>171084</v>
      </c>
      <c r="H62" s="1">
        <v>648000</v>
      </c>
    </row>
    <row r="63" spans="1:8" x14ac:dyDescent="0.3">
      <c r="A63" s="1" t="s">
        <v>12</v>
      </c>
      <c r="B63" s="1">
        <v>1384</v>
      </c>
      <c r="C63" s="1">
        <v>1823019</v>
      </c>
      <c r="D63" s="1">
        <v>800</v>
      </c>
      <c r="E63" s="1">
        <v>4.9000000000000004</v>
      </c>
      <c r="F63" s="1">
        <f t="shared" si="3"/>
        <v>16326</v>
      </c>
      <c r="G63" s="1">
        <v>190406</v>
      </c>
      <c r="H63" s="1">
        <v>586000</v>
      </c>
    </row>
    <row r="64" spans="1:8" x14ac:dyDescent="0.3">
      <c r="A64" s="1" t="s">
        <v>12</v>
      </c>
      <c r="B64" s="1">
        <v>1383</v>
      </c>
      <c r="C64" s="1">
        <v>1652488</v>
      </c>
      <c r="D64" s="1">
        <v>800</v>
      </c>
      <c r="E64" s="1">
        <v>4.4000000000000004</v>
      </c>
      <c r="F64" s="1">
        <f t="shared" si="3"/>
        <v>18181</v>
      </c>
      <c r="G64" s="6">
        <v>185325</v>
      </c>
      <c r="H64" s="1">
        <v>579000</v>
      </c>
    </row>
    <row r="65" spans="1:8" x14ac:dyDescent="0.3">
      <c r="A65" s="1" t="s">
        <v>14</v>
      </c>
      <c r="B65" s="1">
        <v>1397</v>
      </c>
      <c r="C65" s="1">
        <v>2092130</v>
      </c>
      <c r="D65" s="1">
        <v>10000</v>
      </c>
      <c r="E65" s="1">
        <v>46.4</v>
      </c>
      <c r="F65" s="1">
        <f t="shared" si="3"/>
        <v>21551</v>
      </c>
      <c r="G65" s="1">
        <v>74050</v>
      </c>
      <c r="H65" s="1">
        <v>736060</v>
      </c>
    </row>
    <row r="66" spans="1:8" x14ac:dyDescent="0.3">
      <c r="A66" s="1" t="s">
        <v>14</v>
      </c>
      <c r="B66" s="1">
        <v>1396</v>
      </c>
      <c r="C66" s="1">
        <v>1865272</v>
      </c>
      <c r="D66" s="1">
        <v>10000</v>
      </c>
      <c r="E66" s="1">
        <v>31.5</v>
      </c>
      <c r="F66" s="1">
        <f t="shared" si="3"/>
        <v>31746</v>
      </c>
      <c r="G66" s="1">
        <v>124308</v>
      </c>
      <c r="H66" s="1">
        <v>767022</v>
      </c>
    </row>
    <row r="67" spans="1:8" x14ac:dyDescent="0.3">
      <c r="A67" s="1" t="s">
        <v>14</v>
      </c>
      <c r="B67" s="1">
        <v>1395</v>
      </c>
      <c r="C67" s="1">
        <v>1738547</v>
      </c>
      <c r="D67" s="1">
        <v>10000</v>
      </c>
      <c r="E67" s="1">
        <v>29.4</v>
      </c>
      <c r="F67" s="1">
        <f t="shared" si="3"/>
        <v>34013</v>
      </c>
      <c r="G67" s="6">
        <v>115425</v>
      </c>
      <c r="H67" s="1">
        <v>768841</v>
      </c>
    </row>
    <row r="68" spans="1:8" x14ac:dyDescent="0.3">
      <c r="A68" s="1" t="s">
        <v>14</v>
      </c>
      <c r="B68" s="1">
        <v>1394</v>
      </c>
      <c r="C68" s="1">
        <v>1657245</v>
      </c>
      <c r="D68" s="1">
        <v>10000</v>
      </c>
      <c r="E68" s="1">
        <v>27.1</v>
      </c>
      <c r="F68" s="1">
        <f t="shared" si="3"/>
        <v>36900</v>
      </c>
      <c r="G68" s="1">
        <v>106542</v>
      </c>
      <c r="H68" s="1">
        <v>834165</v>
      </c>
    </row>
    <row r="69" spans="1:8" x14ac:dyDescent="0.3">
      <c r="A69" s="1" t="s">
        <v>14</v>
      </c>
      <c r="B69" s="1">
        <v>1393</v>
      </c>
      <c r="C69" s="1">
        <v>1604276</v>
      </c>
      <c r="D69" s="1">
        <v>10000</v>
      </c>
      <c r="E69" s="1">
        <v>25</v>
      </c>
      <c r="F69" s="1">
        <f t="shared" si="3"/>
        <v>40000</v>
      </c>
      <c r="G69" s="1">
        <v>149422</v>
      </c>
      <c r="H69" s="1">
        <v>897689</v>
      </c>
    </row>
    <row r="70" spans="1:8" x14ac:dyDescent="0.3">
      <c r="A70" s="1" t="s">
        <v>14</v>
      </c>
      <c r="B70" s="1">
        <v>1392</v>
      </c>
      <c r="C70" s="1">
        <v>1566008</v>
      </c>
      <c r="D70" s="1">
        <v>7000</v>
      </c>
      <c r="E70" s="1">
        <v>22</v>
      </c>
      <c r="F70" s="1">
        <f t="shared" si="3"/>
        <v>31818</v>
      </c>
      <c r="G70" s="1">
        <v>95548</v>
      </c>
      <c r="H70" s="1">
        <v>1044092</v>
      </c>
    </row>
    <row r="71" spans="1:8" x14ac:dyDescent="0.3">
      <c r="A71" s="1" t="s">
        <v>14</v>
      </c>
      <c r="B71" s="1">
        <v>1391</v>
      </c>
      <c r="C71" s="1">
        <v>1427802</v>
      </c>
      <c r="D71" s="1">
        <v>7000</v>
      </c>
      <c r="E71" s="1">
        <v>18.399999999999999</v>
      </c>
      <c r="F71" s="1">
        <f t="shared" si="3"/>
        <v>38043</v>
      </c>
      <c r="G71" s="1">
        <v>97796</v>
      </c>
      <c r="H71" s="1">
        <v>1020000</v>
      </c>
    </row>
    <row r="72" spans="1:8" x14ac:dyDescent="0.3">
      <c r="A72" s="1" t="s">
        <v>14</v>
      </c>
      <c r="B72" s="1">
        <v>1390</v>
      </c>
      <c r="C72" s="1">
        <v>1358145</v>
      </c>
      <c r="D72" s="1">
        <v>7000</v>
      </c>
      <c r="E72" s="1">
        <v>13.3</v>
      </c>
      <c r="F72" s="1">
        <f t="shared" si="3"/>
        <v>52631</v>
      </c>
      <c r="G72" s="1">
        <v>173469</v>
      </c>
      <c r="H72" s="1">
        <v>1085466</v>
      </c>
    </row>
    <row r="73" spans="1:8" x14ac:dyDescent="0.3">
      <c r="A73" s="1" t="s">
        <v>14</v>
      </c>
      <c r="B73" s="1">
        <v>1389</v>
      </c>
      <c r="C73" s="1">
        <v>1406966</v>
      </c>
      <c r="D73" s="1">
        <v>7000</v>
      </c>
      <c r="E73" s="1">
        <v>11</v>
      </c>
      <c r="F73" s="1">
        <f t="shared" si="3"/>
        <v>63636</v>
      </c>
      <c r="G73" s="1">
        <v>146141</v>
      </c>
      <c r="H73" s="1">
        <v>1229000</v>
      </c>
    </row>
    <row r="74" spans="1:8" x14ac:dyDescent="0.3">
      <c r="A74" s="1" t="s">
        <v>14</v>
      </c>
      <c r="B74" s="1">
        <v>1388</v>
      </c>
      <c r="C74" s="1">
        <v>1523065</v>
      </c>
      <c r="D74" s="1">
        <v>4000</v>
      </c>
      <c r="E74" s="1">
        <v>8.9</v>
      </c>
      <c r="F74" s="1">
        <f t="shared" si="3"/>
        <v>44943</v>
      </c>
      <c r="G74" s="1">
        <v>99639</v>
      </c>
      <c r="H74" s="1">
        <v>1216000</v>
      </c>
    </row>
    <row r="75" spans="1:8" x14ac:dyDescent="0.3">
      <c r="A75" s="1" t="s">
        <v>14</v>
      </c>
      <c r="B75" s="1">
        <v>1387</v>
      </c>
      <c r="C75" s="1">
        <v>1568749</v>
      </c>
      <c r="D75" s="1">
        <v>4000</v>
      </c>
      <c r="E75" s="1">
        <v>8.1999999999999993</v>
      </c>
      <c r="F75" s="1">
        <f t="shared" si="3"/>
        <v>48780</v>
      </c>
      <c r="G75" s="1">
        <v>146728</v>
      </c>
      <c r="H75" s="1">
        <v>1184000</v>
      </c>
    </row>
    <row r="76" spans="1:8" x14ac:dyDescent="0.3">
      <c r="A76" s="1" t="s">
        <v>14</v>
      </c>
      <c r="B76" s="1">
        <v>1386</v>
      </c>
      <c r="C76" s="1">
        <v>1565000</v>
      </c>
      <c r="D76" s="1">
        <v>4000</v>
      </c>
      <c r="E76" s="1">
        <v>6.8</v>
      </c>
      <c r="F76" s="1">
        <f t="shared" si="3"/>
        <v>58823</v>
      </c>
      <c r="G76" s="1">
        <v>168776</v>
      </c>
      <c r="H76" s="1">
        <v>996000</v>
      </c>
    </row>
    <row r="77" spans="1:8" x14ac:dyDescent="0.3">
      <c r="A77" s="1" t="s">
        <v>14</v>
      </c>
      <c r="B77" s="1">
        <v>1385</v>
      </c>
      <c r="C77" s="1">
        <v>1719472</v>
      </c>
      <c r="D77" s="1">
        <v>800</v>
      </c>
      <c r="E77" s="1">
        <v>5.6</v>
      </c>
      <c r="F77" s="1">
        <f t="shared" si="3"/>
        <v>14285</v>
      </c>
      <c r="G77" s="1">
        <v>145658</v>
      </c>
      <c r="H77" s="1">
        <v>882000</v>
      </c>
    </row>
    <row r="78" spans="1:8" x14ac:dyDescent="0.3">
      <c r="A78" s="1" t="s">
        <v>14</v>
      </c>
      <c r="B78" s="1">
        <v>1384</v>
      </c>
      <c r="C78" s="1">
        <v>1610756</v>
      </c>
      <c r="D78" s="1">
        <v>800</v>
      </c>
      <c r="E78" s="1">
        <v>4.9000000000000004</v>
      </c>
      <c r="F78" s="1">
        <f t="shared" si="3"/>
        <v>16326</v>
      </c>
      <c r="G78" s="1">
        <v>166889</v>
      </c>
      <c r="H78" s="1">
        <v>881000</v>
      </c>
    </row>
    <row r="79" spans="1:8" x14ac:dyDescent="0.3">
      <c r="A79" s="1" t="s">
        <v>14</v>
      </c>
      <c r="B79" s="1">
        <v>1383</v>
      </c>
      <c r="C79" s="1">
        <v>1480895</v>
      </c>
      <c r="D79" s="1">
        <v>800</v>
      </c>
      <c r="E79" s="1">
        <v>4.4000000000000004</v>
      </c>
      <c r="F79" s="1">
        <f t="shared" si="3"/>
        <v>18181</v>
      </c>
      <c r="G79" s="6">
        <v>152124</v>
      </c>
      <c r="H79" s="1">
        <v>738000</v>
      </c>
    </row>
    <row r="80" spans="1:8" x14ac:dyDescent="0.3">
      <c r="A80" s="1" t="s">
        <v>16</v>
      </c>
      <c r="B80" s="1">
        <v>1397</v>
      </c>
      <c r="C80" s="1">
        <v>1153000</v>
      </c>
      <c r="D80" s="1">
        <v>10000</v>
      </c>
      <c r="E80" s="1">
        <v>46.4</v>
      </c>
      <c r="F80" s="1">
        <f t="shared" si="3"/>
        <v>21551</v>
      </c>
      <c r="G80" s="1">
        <v>26593</v>
      </c>
      <c r="H80" s="1">
        <v>439713</v>
      </c>
    </row>
    <row r="81" spans="1:8" x14ac:dyDescent="0.3">
      <c r="A81" s="1" t="s">
        <v>16</v>
      </c>
      <c r="B81" s="1">
        <v>1396</v>
      </c>
      <c r="C81" s="1">
        <v>1062983</v>
      </c>
      <c r="D81" s="1">
        <v>10000</v>
      </c>
      <c r="E81" s="1">
        <v>31.5</v>
      </c>
      <c r="F81" s="1">
        <f t="shared" si="3"/>
        <v>31746</v>
      </c>
      <c r="G81" s="1">
        <v>45726</v>
      </c>
      <c r="H81" s="1">
        <v>419081</v>
      </c>
    </row>
    <row r="82" spans="1:8" x14ac:dyDescent="0.3">
      <c r="A82" s="1" t="s">
        <v>16</v>
      </c>
      <c r="B82" s="1">
        <v>1395</v>
      </c>
      <c r="C82" s="1">
        <v>996456</v>
      </c>
      <c r="D82" s="1">
        <v>10000</v>
      </c>
      <c r="E82" s="1">
        <v>29.4</v>
      </c>
      <c r="F82" s="1">
        <f t="shared" si="3"/>
        <v>34013</v>
      </c>
      <c r="G82" s="1">
        <v>44092</v>
      </c>
      <c r="H82" s="1">
        <v>413736</v>
      </c>
    </row>
    <row r="83" spans="1:8" x14ac:dyDescent="0.3">
      <c r="A83" s="1" t="s">
        <v>16</v>
      </c>
      <c r="B83" s="1">
        <v>1394</v>
      </c>
      <c r="C83" s="1">
        <v>949688</v>
      </c>
      <c r="D83" s="1">
        <v>10000</v>
      </c>
      <c r="E83" s="1">
        <v>27.1</v>
      </c>
      <c r="F83" s="1">
        <f t="shared" si="3"/>
        <v>36900</v>
      </c>
      <c r="G83" s="1">
        <v>42459</v>
      </c>
      <c r="H83" s="1">
        <v>437916</v>
      </c>
    </row>
    <row r="84" spans="1:8" x14ac:dyDescent="0.3">
      <c r="A84" s="1" t="s">
        <v>16</v>
      </c>
      <c r="B84" s="1">
        <v>1393</v>
      </c>
      <c r="C84" s="1">
        <v>942677</v>
      </c>
      <c r="D84" s="1">
        <v>10000</v>
      </c>
      <c r="E84" s="1">
        <v>25</v>
      </c>
      <c r="F84" s="1">
        <f t="shared" si="3"/>
        <v>40000</v>
      </c>
      <c r="G84" s="1">
        <v>53064</v>
      </c>
      <c r="H84" s="1">
        <v>478957</v>
      </c>
    </row>
    <row r="85" spans="1:8" x14ac:dyDescent="0.3">
      <c r="A85" s="1" t="s">
        <v>16</v>
      </c>
      <c r="B85" s="1">
        <v>1392</v>
      </c>
      <c r="C85" s="1">
        <v>979591</v>
      </c>
      <c r="D85" s="1">
        <v>7000</v>
      </c>
      <c r="E85" s="1">
        <v>22</v>
      </c>
      <c r="F85" s="1">
        <f t="shared" si="3"/>
        <v>31818</v>
      </c>
      <c r="G85" s="1">
        <v>30612</v>
      </c>
      <c r="H85" s="1">
        <v>648895</v>
      </c>
    </row>
    <row r="86" spans="1:8" x14ac:dyDescent="0.3">
      <c r="A86" s="1" t="s">
        <v>16</v>
      </c>
      <c r="B86" s="1">
        <v>1391</v>
      </c>
      <c r="C86" s="1">
        <v>904834</v>
      </c>
      <c r="D86" s="1">
        <v>7000</v>
      </c>
      <c r="E86" s="1">
        <v>18.399999999999999</v>
      </c>
      <c r="F86" s="1">
        <f t="shared" si="3"/>
        <v>38043</v>
      </c>
      <c r="G86" s="1">
        <v>34989</v>
      </c>
      <c r="H86" s="1">
        <v>766415</v>
      </c>
    </row>
    <row r="87" spans="1:8" x14ac:dyDescent="0.3">
      <c r="A87" s="1" t="s">
        <v>16</v>
      </c>
      <c r="B87" s="1">
        <v>1390</v>
      </c>
      <c r="C87" s="1">
        <v>841320</v>
      </c>
      <c r="D87" s="1">
        <v>7000</v>
      </c>
      <c r="E87" s="1">
        <v>13.3</v>
      </c>
      <c r="F87" s="1">
        <f t="shared" ref="F87:F118" si="4">_xlfn.FLOOR.MATH(D87*100/E87)</f>
        <v>52631</v>
      </c>
      <c r="G87" s="1">
        <v>69425</v>
      </c>
      <c r="H87" s="1">
        <v>529270</v>
      </c>
    </row>
    <row r="88" spans="1:8" x14ac:dyDescent="0.3">
      <c r="A88" s="1" t="s">
        <v>16</v>
      </c>
      <c r="B88" s="1">
        <v>1389</v>
      </c>
      <c r="C88" s="1">
        <v>869873</v>
      </c>
      <c r="D88" s="1">
        <v>7000</v>
      </c>
      <c r="E88" s="1">
        <v>11</v>
      </c>
      <c r="F88" s="1">
        <f t="shared" si="4"/>
        <v>63636</v>
      </c>
      <c r="G88" s="1">
        <v>63529</v>
      </c>
      <c r="H88" s="1">
        <v>557914</v>
      </c>
    </row>
    <row r="89" spans="1:8" x14ac:dyDescent="0.3">
      <c r="A89" s="1" t="s">
        <v>16</v>
      </c>
      <c r="B89" s="1">
        <v>1388</v>
      </c>
      <c r="C89" s="1">
        <v>966359</v>
      </c>
      <c r="D89" s="1">
        <v>4000</v>
      </c>
      <c r="E89" s="1">
        <v>8.9</v>
      </c>
      <c r="F89" s="1">
        <f t="shared" si="4"/>
        <v>44943</v>
      </c>
      <c r="G89" s="1">
        <v>63485</v>
      </c>
      <c r="H89" s="1">
        <v>328127</v>
      </c>
    </row>
    <row r="90" spans="1:8" x14ac:dyDescent="0.3">
      <c r="A90" s="1" t="s">
        <v>16</v>
      </c>
      <c r="B90" s="1">
        <v>1387</v>
      </c>
      <c r="C90" s="1">
        <v>1027170</v>
      </c>
      <c r="D90" s="1">
        <v>4000</v>
      </c>
      <c r="E90" s="1">
        <v>8.1999999999999993</v>
      </c>
      <c r="F90" s="1">
        <f t="shared" si="4"/>
        <v>48780</v>
      </c>
      <c r="G90" s="1">
        <v>66389</v>
      </c>
      <c r="H90" s="1">
        <v>553359</v>
      </c>
    </row>
    <row r="91" spans="1:8" x14ac:dyDescent="0.3">
      <c r="A91" s="1" t="s">
        <v>16</v>
      </c>
      <c r="B91" s="1">
        <v>1386</v>
      </c>
      <c r="C91" s="1">
        <v>1003444</v>
      </c>
      <c r="D91" s="1">
        <v>4000</v>
      </c>
      <c r="E91" s="1">
        <v>6.8</v>
      </c>
      <c r="F91" s="1">
        <f t="shared" si="4"/>
        <v>58823</v>
      </c>
      <c r="G91" s="1">
        <v>67294</v>
      </c>
      <c r="H91" s="1">
        <v>522224</v>
      </c>
    </row>
    <row r="92" spans="1:8" x14ac:dyDescent="0.3">
      <c r="A92" s="1" t="s">
        <v>16</v>
      </c>
      <c r="B92" s="1">
        <v>1385</v>
      </c>
      <c r="C92" s="1">
        <v>1150752</v>
      </c>
      <c r="D92" s="1">
        <v>800</v>
      </c>
      <c r="E92" s="1">
        <v>5.6</v>
      </c>
      <c r="F92" s="1">
        <f t="shared" si="4"/>
        <v>14285</v>
      </c>
      <c r="G92" s="1">
        <v>93874</v>
      </c>
      <c r="H92" s="1">
        <v>469628</v>
      </c>
    </row>
    <row r="96" spans="1:8" x14ac:dyDescent="0.3">
      <c r="G9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تهران</vt:lpstr>
      <vt:lpstr>خراسان رضوی</vt:lpstr>
      <vt:lpstr>اصفهان</vt:lpstr>
      <vt:lpstr>فارس</vt:lpstr>
      <vt:lpstr>آذربایجان شرقی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2026-02-11T21:59:19Z</dcterms:created>
  <dcterms:modified xsi:type="dcterms:W3CDTF">2026-02-18T04:44:22Z</dcterms:modified>
</cp:coreProperties>
</file>